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https://d.docs.live.net/7DDF5495513607DE/Documents/"/>
    </mc:Choice>
  </mc:AlternateContent>
  <xr:revisionPtr revIDLastSave="0" documentId="8_{62CB68B2-FAC3-4EA5-ABBF-2B2FC3E81154}" xr6:coauthVersionLast="47" xr6:coauthVersionMax="47" xr10:uidLastSave="{00000000-0000-0000-0000-000000000000}"/>
  <bookViews>
    <workbookView xWindow="6270" yWindow="4530" windowWidth="21600" windowHeight="11295" activeTab="1" xr2:uid="{00000000-000D-0000-FFFF-FFFF00000000}"/>
  </bookViews>
  <sheets>
    <sheet name="Sheet1" sheetId="1" r:id="rId1"/>
    <sheet name="Sheet2" sheetId="2" r:id="rId2"/>
  </sheets>
  <definedNames>
    <definedName name="_xlchart.v5.0" hidden="1">Sheet2!$P$2:$P$6</definedName>
    <definedName name="_xlchart.v5.1" hidden="1">Sheet2!$Q$2:$Q$6</definedName>
    <definedName name="_xlchart.v5.2" hidden="1">Sheet2!$R$2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2" l="1"/>
  <c r="Q3" i="2"/>
  <c r="Q4" i="2"/>
  <c r="Q5" i="2"/>
  <c r="Q6" i="2"/>
  <c r="O2" i="2" a="1"/>
  <c r="O2" i="2" s="1"/>
  <c r="F2" i="2" a="1"/>
  <c r="F2" i="2" s="1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1" i="2"/>
  <c r="A1" i="2"/>
  <c r="A31" i="2"/>
  <c r="A32" i="2"/>
  <c r="A33" i="2"/>
  <c r="A34" i="2"/>
  <c r="A35" i="2"/>
  <c r="A37" i="2"/>
  <c r="A38" i="2"/>
  <c r="A39" i="2"/>
  <c r="A40" i="2"/>
  <c r="A41" i="2"/>
  <c r="A42" i="2"/>
  <c r="A43" i="2"/>
  <c r="A44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2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H4" i="2" l="1"/>
  <c r="H3" i="2"/>
  <c r="H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<sst xmlns="http://schemas.openxmlformats.org/spreadsheetml/2006/main" count="377" uniqueCount="182">
  <si>
    <t>Sl No</t>
  </si>
  <si>
    <t>Student name</t>
  </si>
  <si>
    <t>mobile brand</t>
  </si>
  <si>
    <t>Number of languages known</t>
  </si>
  <si>
    <t>Device used to study</t>
  </si>
  <si>
    <t>Preffered time of study</t>
  </si>
  <si>
    <t>Gender</t>
  </si>
  <si>
    <t>social media often use</t>
  </si>
  <si>
    <t>state</t>
  </si>
  <si>
    <t>how much you wish to earn per month (numbers)</t>
  </si>
  <si>
    <t>caffeine intake (number of cups per day)</t>
  </si>
  <si>
    <t>mother tongue</t>
  </si>
  <si>
    <t>AARYAN HARISH</t>
  </si>
  <si>
    <t>Apple</t>
  </si>
  <si>
    <t>ABEL SAM DEVASIRVATHAM W</t>
  </si>
  <si>
    <t>Samsung</t>
  </si>
  <si>
    <t>laptop</t>
  </si>
  <si>
    <t>anytime</t>
  </si>
  <si>
    <t>male</t>
  </si>
  <si>
    <t>instagram</t>
  </si>
  <si>
    <t xml:space="preserve">Karnataka </t>
  </si>
  <si>
    <t>infinite</t>
  </si>
  <si>
    <t>tamil</t>
  </si>
  <si>
    <t>ATHUL EMMANUEL STEPHEN</t>
  </si>
  <si>
    <t>never night</t>
  </si>
  <si>
    <t>kerala</t>
  </si>
  <si>
    <t xml:space="preserve">malalayam </t>
  </si>
  <si>
    <t>IVAN JOHN</t>
  </si>
  <si>
    <t>Mobile</t>
  </si>
  <si>
    <t xml:space="preserve">Evening </t>
  </si>
  <si>
    <t>Male</t>
  </si>
  <si>
    <t xml:space="preserve">WhatsApp </t>
  </si>
  <si>
    <t>Kannada</t>
  </si>
  <si>
    <t>MEVIN VINCENT</t>
  </si>
  <si>
    <t>SHANE CHRISTOPHER</t>
  </si>
  <si>
    <t>One plus</t>
  </si>
  <si>
    <t xml:space="preserve">Tablet </t>
  </si>
  <si>
    <t xml:space="preserve">Morning </t>
  </si>
  <si>
    <t>ISAAC KURIAN DAVID</t>
  </si>
  <si>
    <t>Motorola</t>
  </si>
  <si>
    <t xml:space="preserve">evening </t>
  </si>
  <si>
    <t>LALITH CHOUDHARY</t>
  </si>
  <si>
    <t>xaomi</t>
  </si>
  <si>
    <t>evening</t>
  </si>
  <si>
    <t>JASWANTH B</t>
  </si>
  <si>
    <t>vivo</t>
  </si>
  <si>
    <t>pc</t>
  </si>
  <si>
    <t>Whatsapp</t>
  </si>
  <si>
    <t>Telugu</t>
  </si>
  <si>
    <t>ALFONDER WARJRI</t>
  </si>
  <si>
    <t>Realme</t>
  </si>
  <si>
    <t>Instagram</t>
  </si>
  <si>
    <t>Meghalaya</t>
  </si>
  <si>
    <t>Khasi</t>
  </si>
  <si>
    <t>ARAV BHATIA</t>
  </si>
  <si>
    <t>Punjab</t>
  </si>
  <si>
    <t>Hindi</t>
  </si>
  <si>
    <t>HARIN S PRASAD</t>
  </si>
  <si>
    <t>PC</t>
  </si>
  <si>
    <t>7 crore</t>
  </si>
  <si>
    <t>KISHEN RAJ</t>
  </si>
  <si>
    <t>oppo</t>
  </si>
  <si>
    <t xml:space="preserve">instagram </t>
  </si>
  <si>
    <t>Tamil</t>
  </si>
  <si>
    <t>SHREERAM K</t>
  </si>
  <si>
    <t xml:space="preserve">nothing </t>
  </si>
  <si>
    <t>lap</t>
  </si>
  <si>
    <t>morning</t>
  </si>
  <si>
    <t xml:space="preserve">malayalam </t>
  </si>
  <si>
    <t>NAOKHOMBA KHANGEMBAM</t>
  </si>
  <si>
    <t>DANIEL LUNGOUCHUON HAOKIP</t>
  </si>
  <si>
    <t>JISS JAMES</t>
  </si>
  <si>
    <t>Nothing</t>
  </si>
  <si>
    <t>Laptop</t>
  </si>
  <si>
    <t>Night</t>
  </si>
  <si>
    <t>Kerala</t>
  </si>
  <si>
    <t>Malayalam</t>
  </si>
  <si>
    <t>THARANAA S J</t>
  </si>
  <si>
    <t xml:space="preserve">Nothing </t>
  </si>
  <si>
    <t xml:space="preserve">laptop </t>
  </si>
  <si>
    <t>night</t>
  </si>
  <si>
    <t>female</t>
  </si>
  <si>
    <t>tamil nadu</t>
  </si>
  <si>
    <t>DEEBADHARSHAN S</t>
  </si>
  <si>
    <t>SHIYAVUL IRFAN S</t>
  </si>
  <si>
    <t>vivio</t>
  </si>
  <si>
    <t>PRATYAKSH SHARMA</t>
  </si>
  <si>
    <t>ANUSHKA BANDI</t>
  </si>
  <si>
    <t>apple</t>
  </si>
  <si>
    <t>never</t>
  </si>
  <si>
    <t>Female</t>
  </si>
  <si>
    <t>karnataka</t>
  </si>
  <si>
    <t>telugu</t>
  </si>
  <si>
    <t>AP ANN FIONA</t>
  </si>
  <si>
    <t>Nokia</t>
  </si>
  <si>
    <t>angel</t>
  </si>
  <si>
    <t>CEANA JASMINE C</t>
  </si>
  <si>
    <t>Poco</t>
  </si>
  <si>
    <t>kannada</t>
  </si>
  <si>
    <t>DEVALEKHA M</t>
  </si>
  <si>
    <t>one plus</t>
  </si>
  <si>
    <t xml:space="preserve">H MOHAMMED ABHISHEIK </t>
  </si>
  <si>
    <t xml:space="preserve">Samsung </t>
  </si>
  <si>
    <t>No study</t>
  </si>
  <si>
    <t>Tamil Nadu</t>
  </si>
  <si>
    <t>J MINTOPRABHU</t>
  </si>
  <si>
    <t>Evening</t>
  </si>
  <si>
    <t>KAVIN KIRTHICK R</t>
  </si>
  <si>
    <t>none</t>
  </si>
  <si>
    <t>KHUSHI N</t>
  </si>
  <si>
    <t>SHON VARGHESE</t>
  </si>
  <si>
    <t xml:space="preserve">Laptop </t>
  </si>
  <si>
    <t>Day</t>
  </si>
  <si>
    <t xml:space="preserve">Instagram </t>
  </si>
  <si>
    <t xml:space="preserve">Kerala </t>
  </si>
  <si>
    <t>malayalam</t>
  </si>
  <si>
    <t>TARUN SAM EMMANUEL</t>
  </si>
  <si>
    <t>One Plus</t>
  </si>
  <si>
    <t>Morning</t>
  </si>
  <si>
    <t>Karnataka</t>
  </si>
  <si>
    <t>CHAITHRA S</t>
  </si>
  <si>
    <t>DEVIKA V</t>
  </si>
  <si>
    <t>Vivo</t>
  </si>
  <si>
    <t>SUNAINA PATRO</t>
  </si>
  <si>
    <t xml:space="preserve">One plus </t>
  </si>
  <si>
    <t>Odisha</t>
  </si>
  <si>
    <t>oriya</t>
  </si>
  <si>
    <t>\</t>
  </si>
  <si>
    <t>ANAN MATHEW</t>
  </si>
  <si>
    <t>iqoo</t>
  </si>
  <si>
    <t>JOSHUA JOHN V</t>
  </si>
  <si>
    <t>Infinix</t>
  </si>
  <si>
    <t xml:space="preserve">SHAIVI </t>
  </si>
  <si>
    <t>KISHORE R</t>
  </si>
  <si>
    <t xml:space="preserve">iQOO </t>
  </si>
  <si>
    <t xml:space="preserve">Mobile </t>
  </si>
  <si>
    <t>INSTAGRAM</t>
  </si>
  <si>
    <t>ALBIN REGI JOHN</t>
  </si>
  <si>
    <t>MALE</t>
  </si>
  <si>
    <t>KERALA</t>
  </si>
  <si>
    <t>MALAYALAM</t>
  </si>
  <si>
    <t>ARPITHA RAICHEL JACOB</t>
  </si>
  <si>
    <t>ARUN R NAIR</t>
  </si>
  <si>
    <t>ASHISH JAISON</t>
  </si>
  <si>
    <t xml:space="preserve">Apple </t>
  </si>
  <si>
    <t>Malyalam</t>
  </si>
  <si>
    <t>KANISHK M</t>
  </si>
  <si>
    <t>not male</t>
  </si>
  <si>
    <t>tinder</t>
  </si>
  <si>
    <t>S ANAHITH</t>
  </si>
  <si>
    <t>PIXEL</t>
  </si>
  <si>
    <t>There's no limit to that</t>
  </si>
  <si>
    <t xml:space="preserve">two cups </t>
  </si>
  <si>
    <t>JIS MARIYA JOSE</t>
  </si>
  <si>
    <t>HARSHITH V</t>
  </si>
  <si>
    <t>VIVO</t>
  </si>
  <si>
    <t>BENSON SAJI VARGHESE</t>
  </si>
  <si>
    <t>HARSHITH K AHUJA</t>
  </si>
  <si>
    <t>mts</t>
  </si>
  <si>
    <t>youtube</t>
  </si>
  <si>
    <t>THISHAN S</t>
  </si>
  <si>
    <t>REALME</t>
  </si>
  <si>
    <t>NANDISH P</t>
  </si>
  <si>
    <t>ONEPLUS</t>
  </si>
  <si>
    <t>NITHISH KRISHNA S</t>
  </si>
  <si>
    <t>Indmoney</t>
  </si>
  <si>
    <t>AARON THOMAS MAJU</t>
  </si>
  <si>
    <t>AHSAN IBRAHIM</t>
  </si>
  <si>
    <t>NEIL TOM ANTONY</t>
  </si>
  <si>
    <t>SANKET DEEPAK HAMPANNAVAR</t>
  </si>
  <si>
    <t>SUSHMITHA SHYAM PRASAD</t>
  </si>
  <si>
    <t>SHERON SREE SAI A S</t>
  </si>
  <si>
    <t xml:space="preserve">apple </t>
  </si>
  <si>
    <t>KRISHNA SUBHASH</t>
  </si>
  <si>
    <t>M.TARAK RAM REDDY</t>
  </si>
  <si>
    <t>BLACKBERRY</t>
  </si>
  <si>
    <t>Book</t>
  </si>
  <si>
    <t xml:space="preserve">male </t>
  </si>
  <si>
    <t>N/A</t>
  </si>
  <si>
    <t>Tamil nadu</t>
  </si>
  <si>
    <t>States</t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</si>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</sst>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$&quot;"/>
  </numFmts>
  <fonts count="10" x14ac:knownFonts="1">
    <font>
      <sz val="10"/>
      <color rgb="FF000000"/>
      <name val="Arial"/>
      <scheme val="minor"/>
    </font>
    <font>
      <b/>
      <sz val="11"/>
      <color rgb="FF222222"/>
      <name val="Calibri"/>
    </font>
    <font>
      <sz val="11"/>
      <color rgb="FF222222"/>
      <name val="Calibri"/>
    </font>
    <font>
      <sz val="10"/>
      <color theme="1"/>
      <name val="Arial"/>
      <scheme val="minor"/>
    </font>
    <font>
      <sz val="9"/>
      <color theme="1"/>
      <name val="Arial"/>
      <scheme val="minor"/>
    </font>
    <font>
      <sz val="11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Calibri"/>
    </font>
    <font>
      <b/>
      <sz val="10"/>
      <color rgb="FFFF00FF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3" fillId="2" borderId="1" xfId="0" applyFont="1" applyFill="1" applyBorder="1"/>
    <xf numFmtId="0" fontId="3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/>
    <xf numFmtId="0" fontId="7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0" xfId="0" applyFont="1" applyFill="1"/>
    <xf numFmtId="0" fontId="9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explosion val="1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2-0F82-4307-A5BF-4DB26C11878A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0F82-4307-A5BF-4DB26C11878A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4-0F82-4307-A5BF-4DB26C11878A}"/>
              </c:ext>
            </c:extLst>
          </c:dPt>
          <c:dLbls>
            <c:dLbl>
              <c:idx val="0"/>
              <c:layout>
                <c:manualLayout>
                  <c:x val="0.177195718894926"/>
                  <c:y val="4.0635698867566017E-2"/>
                </c:manualLayout>
              </c:layout>
              <c:spPr>
                <a:noFill/>
                <a:ln>
                  <a:gradFill>
                    <a:gsLst>
                      <a:gs pos="0">
                        <a:srgbClr val="4285F4">
                          <a:lumMod val="5000"/>
                          <a:lumOff val="95000"/>
                        </a:srgbClr>
                      </a:gs>
                      <a:gs pos="74000">
                        <a:srgbClr val="4285F4">
                          <a:lumMod val="45000"/>
                          <a:lumOff val="55000"/>
                        </a:srgbClr>
                      </a:gs>
                      <a:gs pos="83000">
                        <a:srgbClr val="4285F4">
                          <a:lumMod val="45000"/>
                          <a:lumOff val="55000"/>
                        </a:srgbClr>
                      </a:gs>
                      <a:gs pos="100000">
                        <a:srgbClr val="4285F4">
                          <a:lumMod val="30000"/>
                          <a:lumOff val="70000"/>
                        </a:srgbClr>
                      </a:gs>
                    </a:gsLst>
                    <a:lin ang="5400000" scaled="1"/>
                  </a:gradFill>
                </a:ln>
                <a:effectLst/>
              </c:spPr>
              <c:txPr>
                <a:bodyPr rot="0" spcFirstLastPara="1" vertOverflow="clip" horzOverflow="clip" vert="horz" wrap="square" lIns="360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5995471448125501"/>
                      <c:h val="0.1432960941980294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0F82-4307-A5BF-4DB26C11878A}"/>
                </c:ext>
              </c:extLst>
            </c:dLbl>
            <c:dLbl>
              <c:idx val="1"/>
              <c:layout>
                <c:manualLayout>
                  <c:x val="-0.26694374571688367"/>
                  <c:y val="6.5642282786068179E-2"/>
                </c:manualLayout>
              </c:layout>
              <c:spPr>
                <a:noFill/>
                <a:ln>
                  <a:gradFill>
                    <a:gsLst>
                      <a:gs pos="0">
                        <a:srgbClr val="4285F4">
                          <a:lumMod val="5000"/>
                          <a:lumOff val="95000"/>
                        </a:srgbClr>
                      </a:gs>
                      <a:gs pos="74000">
                        <a:srgbClr val="4285F4">
                          <a:lumMod val="45000"/>
                          <a:lumOff val="55000"/>
                        </a:srgbClr>
                      </a:gs>
                      <a:gs pos="83000">
                        <a:srgbClr val="4285F4">
                          <a:lumMod val="45000"/>
                          <a:lumOff val="55000"/>
                        </a:srgbClr>
                      </a:gs>
                      <a:gs pos="100000">
                        <a:srgbClr val="4285F4">
                          <a:lumMod val="30000"/>
                          <a:lumOff val="70000"/>
                        </a:srgbClr>
                      </a:gs>
                    </a:gsLst>
                    <a:lin ang="5400000" scaled="1"/>
                  </a:gradFill>
                </a:ln>
                <a:effectLst/>
              </c:spPr>
              <c:txPr>
                <a:bodyPr rot="0" spcFirstLastPara="1" vertOverflow="clip" horzOverflow="clip" vert="horz" wrap="square" lIns="360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730760993135779"/>
                      <c:h val="0.1307928022387784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F82-4307-A5BF-4DB26C11878A}"/>
                </c:ext>
              </c:extLst>
            </c:dLbl>
            <c:dLbl>
              <c:idx val="2"/>
              <c:layout>
                <c:manualLayout>
                  <c:x val="-0.17489447814564207"/>
                  <c:y val="3.1258229898127135E-3"/>
                </c:manualLayout>
              </c:layout>
              <c:spPr>
                <a:noFill/>
                <a:ln>
                  <a:gradFill>
                    <a:gsLst>
                      <a:gs pos="0">
                        <a:srgbClr val="4285F4">
                          <a:lumMod val="5000"/>
                          <a:lumOff val="95000"/>
                        </a:srgbClr>
                      </a:gs>
                      <a:gs pos="74000">
                        <a:srgbClr val="4285F4">
                          <a:lumMod val="45000"/>
                          <a:lumOff val="55000"/>
                        </a:srgbClr>
                      </a:gs>
                      <a:gs pos="83000">
                        <a:srgbClr val="4285F4">
                          <a:lumMod val="45000"/>
                          <a:lumOff val="55000"/>
                        </a:srgbClr>
                      </a:gs>
                      <a:gs pos="100000">
                        <a:srgbClr val="4285F4">
                          <a:lumMod val="30000"/>
                          <a:lumOff val="70000"/>
                        </a:srgbClr>
                      </a:gs>
                    </a:gsLst>
                    <a:lin ang="5400000" scaled="1"/>
                  </a:gradFill>
                </a:ln>
                <a:effectLst/>
              </c:spPr>
              <c:txPr>
                <a:bodyPr rot="0" spcFirstLastPara="1" vertOverflow="clip" horzOverflow="clip" vert="horz" wrap="square" lIns="360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5684097266742067"/>
                      <c:h val="0.1432960941980294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0F82-4307-A5BF-4DB26C11878A}"/>
                </c:ext>
              </c:extLst>
            </c:dLbl>
            <c:spPr>
              <a:noFill/>
              <a:ln>
                <a:gradFill>
                  <a:gsLst>
                    <a:gs pos="0">
                      <a:srgbClr val="4285F4">
                        <a:lumMod val="5000"/>
                        <a:lumOff val="95000"/>
                      </a:srgbClr>
                    </a:gs>
                    <a:gs pos="74000">
                      <a:srgbClr val="4285F4">
                        <a:lumMod val="45000"/>
                        <a:lumOff val="55000"/>
                      </a:srgbClr>
                    </a:gs>
                    <a:gs pos="83000">
                      <a:srgbClr val="4285F4">
                        <a:lumMod val="45000"/>
                        <a:lumOff val="55000"/>
                      </a:srgbClr>
                    </a:gs>
                    <a:gs pos="100000">
                      <a:srgbClr val="4285F4">
                        <a:lumMod val="30000"/>
                        <a:lumOff val="70000"/>
                      </a:srgbClr>
                    </a:gs>
                  </a:gsLst>
                  <a:lin ang="5400000" scaled="1"/>
                </a:gradFill>
              </a:ln>
              <a:effectLst/>
            </c:spPr>
            <c:txPr>
              <a:bodyPr rot="0" spcFirstLastPara="1" vertOverflow="clip" horzOverflow="clip" vert="horz" wrap="square" lIns="360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Sheet2!$G$2:$G$4</c:f>
              <c:strCache>
                <c:ptCount val="3"/>
                <c:pt idx="0">
                  <c:v>male </c:v>
                </c:pt>
                <c:pt idx="1">
                  <c:v>female</c:v>
                </c:pt>
                <c:pt idx="2">
                  <c:v>N/A</c:v>
                </c:pt>
              </c:strCache>
            </c:strRef>
          </c:cat>
          <c:val>
            <c:numRef>
              <c:f>Sheet2!$H$2:$H$4</c:f>
              <c:numCache>
                <c:formatCode>General</c:formatCode>
                <c:ptCount val="3"/>
                <c:pt idx="0">
                  <c:v>25</c:v>
                </c:pt>
                <c:pt idx="1">
                  <c:v>10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82-4307-A5BF-4DB26C118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827524723842045"/>
          <c:y val="0.8627793242807531"/>
          <c:w val="0.57472807930970149"/>
          <c:h val="0.124049384833026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  <cx:nf>_xlchart.v5.2</cx:nf>
      </cx:strDim>
      <cx:strDim type="colorStr">
        <cx:f>_xlchart.v5.1</cx:f>
      </cx:strDim>
    </cx:data>
  </cx:chartData>
  <cx:chart>
    <cx:title pos="t" align="ctr" overlay="0">
      <cx:tx>
        <cx:txData>
          <cx:v>States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States</a:t>
          </a:r>
        </a:p>
      </cx:txPr>
    </cx:title>
    <cx:plotArea>
      <cx:plotAreaRegion>
        <cx:series layoutId="regionMap" uniqueId="{C7E2CE3C-26EB-40DD-8E9E-7E7C99D71F65}">
          <cx:dataLabels>
            <cx:visibility seriesName="0" categoryName="0" value="1"/>
          </cx:dataLabels>
          <cx:dataId val="0"/>
          <cx:layoutPr>
            <cx:geography cultureLanguage="en-US" cultureRegion="IN" attribution="Powered by Bing">
              <cx:geoCache provider="{E9337A44-BEBE-4D9F-B70C-5C5E7DAFC167}">
                <cx:binary>1H1pb9zGsvZfCfz5pdP7cnBygMuZESVZtiVb8ZIvhGLLzX1rNsnmr781tuNIHcs64b24OK8RILBG
U2xW9VNbP13+54flHx+q25vhp6WuGvuPD8svT7Jx7P7x88/2Q3Zb39indf5haG37aXz6oa1/bj99
yj/c/vxxuJnzxvxMEGY/f8huhvF2efKvf4I0c9tetB9uxrxtrtzt4F/dWleN9gefffejn24+1nmz
z+045B9G/MuT57cmu6lu/M2Tn26bMR/9te9uf3ly79ee/PRzKOwvD/6pgrWN7iN8l/CnnHKGqaT6
y58nP1VtY75+rPFTIqVQEolvH3959IubGr7+b63o83puPn4cbq2Fd/r8/3tfvfcC8MnFk58+tK4Z
j5ozoMRfnpw1H3N469y2uy8f7Nrj6s9efH7dn+/r/F//DH4ACgh+cscsobYe++gvVnl2MzQ34035
v2gVzJ5KjBhhjKDPf/A9q0jxFAupMadfjUb/2BBfrPJvrej7Vrnz1cAqz/7rP9oq398wd2Fy7zf+
LkzIU8oJR0R9NQi5bxD9lAoqJKL8i73kfYN83b4Pr+b7xvj6tXsL/w/Hwu0ADuqPl/+fuyeMnjKm
lZSS3Ve4eMqQIoJh8UXhYI+7funZo+v4vsb/+F649///8kiXrilufv9DI/9zK1D0VDGCuSawr+9E
B8mfggEU0kh+iQ6BH3p8Hd+3wh/fC6xwGf9He6B7q4VofX1T59VPzc1H979nCYyfIiwwQkrdt4QC
PEhEEA88z5dFvHhkEd83w93v3ns5eDcIvP+Xbunh8P0tudlDDD58zoruRPAff/r5tSFZC776o+Tq
i5M5+/jLE4wwIZA13YkkRzn33NBf0qP7X7y9seMvTzR5KiGyUMExJhQxASLn2+MnSj9VmAshMLjA
r5807TBmkLeJp0h8ztmkElQKzZ/8ZFv3+SP+9LgRsCZccI2llt+y0su28qZtvmnl699/alx92ebN
aEEwhR3Uffm942qlQgIxBYFNC8VAGIOd1324eQWpL/w6/n8uzUbFaylOBz0wc0r6UiyxousyxFjn
2celrKrzUSxLd8apcK8Z9socxIyL9cTolP7aF0V91oxClPtOlNMS13k0pzs+j0uf1FFGf9VW0ufp
PKOXdRTx8ZLyRtCdXLRyMWOs0Ke2bVWZIK/67gJF7XLmbd3sODeZOah0NNeWyxTFU1SNO+dwdK2x
658pJ927ji1V3BRKHzCqyl3fqFdoHfL9RNEL79sp1mXXN3Fpp+FDX/XdvCuorfsdvKy5QIXVYzww
vF7wzHbVfmZZFkO6rxK2VvWpdEP9sic5OU25WvaGr/TU5z4/JazXuybyi9nVlRdXc0b1tWq1SmZc
zs87Veld4espppqiAx3qLq6cbnYkEzsyMdK9mVo1u1dpu3Qy7m37CuuoU7u5y319aImi6IKQNDfn
czNPV/1UCb8zTcvMRZ+PxZykappovMyVKWPd9IvZW5wu3d5EtFGxb4txOjHYWx9Xk47w1Qr+378c
jBLNFWYoMvGK+nQ4LYtoSM+yTuH1zKFRFOfpNGu6b4sUTwfnBF9P6JRV76aK9PxK1cNITvCqlIqr
jLByRxwpfUxXO7mTVNgpkSPKPqK2M3JXd7VOmsHhNzyd9bA3yJiTtrCftF6euWjuL0mjyEU7+K6M
KYpOo0VN76QYljhD6eW8NCIW/TyaeFxq/ZwO8772fX6F8xKdCFTVcVulxRL3HM2JZY39SOtJnrYk
yvIkn9Yc76sW9ftSdOqayyKNYi9b4fd1PqrXFY78xZzm644tOT8WatXrsfT93lFdxbptsqQ0tD1H
sqn3kdXmgHJ17gavD37F63Xa5Phk6lt+LkRB46yIkrzB6KVRble21r72rMh3GRb2ZWRwejKXs6nj
kToWs2rwZdy2mazjvoafJ200VxdcErUHWcPe11V9MfQMlzEuWH4Nu9U9axHFxQ6R1s+x13lx5k05
d3Gbun3tsIirzrgzM83lS63S6f0Itk1j06bY7gxZvIn9vCwoXqN53g9D1sR1Ld8seV5f9b5N2rmo
Dr1G65u6mPKPnETzYVCye107YxOZuQL0XvhEFKZ/L/XIzqpodc+70d+2znV13HlSH9SSjqdlVBQn
YpBR+a6LZvF6bj0udzgr5W+dH7E9oFqws7maopNlWdw+Jx09iIi4A596d4L6oU9WLefdsPBqV2Na
nlRLgXZsMNVppaNzVI8CPEy9PBccuXcpsjONrakujab9ue2K5rz3mX5paJ/esHlKx93dUvOeI/3Q
dn7ITfa1wv/2139dtzX897n2/POHxwbBn397/kdn4Ye/ldy2x8rOhr90DIvfZP1Z5R7j0LeSNwhu
X3oRD0S+H354LyzeC/5/5DefoxuGJPBbC+IvEfFeJfTt978GQgnpJJaUc8oE1Ld/BkKhnmINEU0h
riHth1385KevgZDKpwg6FFwLaFFQyjUUCl8DoXgqIXRRiJ1EQp6qNfk7gRDk3AmDEcFMMsn5MdDe
DX82XdK2zLU4zfBe85d2Or/z/t8JsA/JPf78TljVJJ+ErRZ5GHlWZfG6ev82I2L50vL40vH4G+LB
KnfFFwAtAHMjD9nQD8OrWazIXJtlbT/9ePniAbVAAXZXvq7XUrkyFQdIQ+x61eFaozijBccxYqgm
MaP9mJ78+GEP6QrMf/dhFmxfzKYRh8VSRWOFqBni1gv124/l3091/rQxui9f6h51hfbi4HDHnmM8
s/r1jAokLrwamyWJ5CqGGCJL9+rHD3zghRSkfHdfqFOom+TxgVOl5XLeZi51O2Zdlh9+/ICjoD+T
t29vdCwX7j5A5euMRkf5YS6tnM+FpynZdaUl2QUvs4I8x650kAzZvvEyRhXD/Qlqsmk4/fHz8VF1
31vAUdV3tncna1ty6/nBGTP1O0VUIin+1JW0n8u4N/NUx87L6KKdDS4PjkCC18SRUaSGYvybg/n3
EaCOO/fOCioD2VXFZ1CBInxHh/aT5HP+yPs9ZMDAK7SA1Fn5kR+8t/Idan0bp5MrXm5beuAbKlXk
wtKBH0qa57cIWtMXTZSX7kuM+ru+QQW+ATIJ3vUZ54dqlNMbPPcsXtJVbvM8KvAMQzUXXQep4GFs
o3U9oCWahr3o2lZuXH7gDchisPJVAd6gZa7YeSEWFveQAev9j9X/gG8TAXhqPc28cEYmdWX79JWs
6969of2q0fkYZVpeQZFFxdmPH/bQTgp8Dyl81LS2i5Km9VJc2txm45t6HKNPm+TLwNVYhRyaF66S
tcX1wRsWDfGSl3Z4xBrHHf8doMtAWbotWeWITyFBVWt9Mg+4mw7V7HG+7/OM6Y2PCfwJZW2q5i6S
yTg6Mp42om3QYW1wtRy6fJyXbbiWgdPo26lP6VKrpCPlel0OPnvZQPV9/WNbPKSrwGvM5aLwDDlO
QqIlP1R2kPTCMN/2b0uuyuURVT2wo46t07uOL1OmKyEtV8lQMX8W1St6qQ0eKmivbfCrkt4X36a5
R6AckTjZkyVGxcLei7XtDtvEB+7DTbI99iREMlVggbEy9YG5SHYbVx84D5fTxle+gPLdTiXYwKsl
ii3y+brxAQGeSx3xXi+gfY3rvjnrMG+gTCrkOl9uUtAxS75rXkk8tThaRKJtlr+RytrLJTe937Z+
EQBN+oFqBH3GpKNszE/HlS46zsp6RtsgJgKILbnvxUgGmZTWdOzM1mRSceHY8FhsPnqe73gkEaDM
m8KgegYT96nvhn1hqJSXdbRO4tyMaV0eFkN8866qFf3NNWZuHvHkD+U8IgBetZhUtusMrrBSVXee
RTaVkNmXGtI6Nc4FG+NmLNZpl2eiq0/KZTVyL9hM29cTdFbcRgUHAPWpiKQqozSpZeT2NJ9lomRF
H9kf+IiU76mX3N9/fBqXvCe9Tii00drDitNpPPB0XavTTlPpXxpbt5+6iM31KVtVw18slJLmOZFK
Fe9USTh/ZCkPODoRYFk1Be/aOWdJJ1NLd2LVt92yzP02PyoCJFcDFdgvhUyGqJsTM2JWxYYq83ET
jnmAY4cHoYrCsMR0i3rPIbq9sCiqt7lRfgTHney3p6YpokjqhFdQyewcVvUau3zw9pFd9gDKjgcP
dx9g895zsgwqGf2ckjPFhgH9vnQYEJeRDLVxkx97PmQVnfnQ1asl28zCA/9B56aCTTSIRKi0dnHX
E1vH3rFoowfngf9Y2Vr2DppTB9dzfBB+MvtVtNF+m9kDJyFSjZqiX9bEOjMmayOLWAxd8YgPegAS
PMA+HB1l0QKpalKQvN6RERf71Ldk46YKoA9VT6tw3q4JgboxRhl+2xj2WCL50NIDNGPRNdCpN2ti
pB+fO98gCM99Bg3NbYoP4JwVbuzo4NckSmt9Rqal3KdUsWSTdBagmXYT76A3vCZjSthuptLGtsb5
trWHZzCqIauaJJg1Gkm2K6mbYlFKts2PsgDKBYoGNKd2TXqcVydWN2Y3cbae/FgzR9h8J16wAK9N
yrN1xdGczBG/hbKznE7YWHZNMs5SbHyDALJ0klNTlOmcUADuKz22xQGzttxWjrMAsmMDqdC8ijlp
GRdnSnO3L3yz0d2wALJ4rKtUrYVLjK3Ys7yq5fNuqTYuPUAsBOq0LDEdk/54XrMbOLE7mS1ltv+x
cR8ALQtAy1Njy2iFNk/X5Mt5OZrxwqVptRFUAWShPxpN2BXjyeDMbF/TGanqJR+UyLbtm+Np7t0g
VuJ86s1EFkgJ3borO/7ea988svEf0A0NQjAvopIpOGc59FWGY2odiXut3calB6ClXcFIWqgJNB+9
Hwjkd41e0m1mpQFmy24dosiKr0tnpCcxn8TWpYdo5Sp1KoPTQz1D05gcpdvtijma407mU6KpSysL
0pdCZzunShcLQYqNag/QmjGuWjh+B+mM3PY5q05MDgeZm9BEA7SWQFBVuQHhenV1Ukk9QOUllm25
wfEQ5a5ilpHKtPLldOBjOscLnkiMuz8Ovv5uU5EGWK2zjjQtRe7QTGsTz1l+64oVb9M6CXBq12Hs
2mx2h7rMWCwYfx9NlmwUHuAUpXygPovGg+xRs7dLfmPdajcKD2DaW70UkAm7QyF0Fosir2I3ELlR
eoBTSYvI5JGGpWuHn1s4HrlMpam2HVGRAKeLY6QBSohLVgz06HhtlOD7aIyU3bbfSQBV0i+6dp2Z
Es/qZogj2vGkm8n4YROcSIBVnKdkaJcaImtqq3NdWLy3ZeEP26ST+3ByQ9pR47lLRk1/wwW5soxe
bRMdItX6ovY+GpM8i16Ae3zvidzYviMBTjWc5kvcyDEp5kztXcav2zJttxkUBzhtShsNQNpxSZSP
+a4q5IUkPdq22XGAUzgWnju7qOjQVMvH3OO3hNfPNikcByhV+WwiiNc+AbF2jFdiMxF7S80214sD
nE6Gu6xkw5gAjxK9Y8CiyWObr3hbpoEDoLq+IqhKW5fU7bDu20X+nuVdulHtAUhTlfdyygeXcD/4
XV13sPTysZPXo5DvFAdH8sDdmKQbwfIuqscEaG/6ubIGP6+itHu7zawBRMlIxgEuV8B2zNIspvX8
Tqp8o0kDjK6s1UWalS4ZOPCssFreV7263LbuAKNsZsucU5AdFfaaOf+cM/t8k2gUILSd09SM1IwH
lEbRLirSi3xFG/sDKEAoxl0n14hEB4H0y9rL92rw1TbXggKIRhnk6UMLOqmy5qo17UlaZ9s8OQrQ
ybrZ0wV66od2nU6HmTxjfFsERQEwO89H0XZQ24naXKh2Aa5buu2YFQWwzKtxyY5Mx0NX/7pOblfI
N9t2SADJShdDt5ZgRJaVvw+LvlKr2OanUIBH10/l4mcxJt4W+Hr1I0kKR+1+28IDRNImXZoi12Ni
I6ASkKY81al+t012gMiyyoFgilF04DlktxESNwx4m5s8LNMBJmFj932FICRnOVBruWXRXms5bQIO
3Ka472KVneTI+BQdevF6aPcKuthbdMKAZ3zPd2cm61mf+TFxCsgcM7VdjHtxvU14gMkZzt+9b1J7
wFl3Oldwtt/TYty0U1jI6RqcQ2VUgXBV8Uvqug8588NGrQS41Ix71CttD0NNLznIXty0VXYATTzn
ktIFQ9sYiOQXTpnivGeL2KiVAJ2ZZVMF+SxsFL4KYP8Wv1Yi25RgMR1gc9GOzaUG5C/Uj0BRZalo
9wQyoHyTa2E6AGg31yyFs5oxMay7iebpLRw+/LppK4ZkrYlSNAgKenHO8H3vyjymishNeQQ0hO6j
aMgmCf3oBRa+LJeuRefL1G9EqAoQWtQSMZlRm6iSPq+AcHiAq1Zkm8ZDfpUzA3Au3TQmqKuuWFTt
iiHblKQwFYTNgUeNN7S2CSGc7OYaDzvMik/bzBkA1MOJglX1aIFgIN4bu5znkr/eJjrA5zKMaalI
NCQeV3NctbI/aepiGzOChcSqls+NnoC+k8AR0rpv1vaFpEDf37b0AKCuI7bM8DwkLdBfqti6IXoW
Tci/2iY+gOccUfCKzIFFJ//RQga3WPX7JtEhwWmEwJN1orVJKcyrpevOUF1v24cht2lKVSmKig3J
OvXZYZoN2UdV82HbugNw5itL7bCUNtFZtyuZf1Grx9LOI07+WlWxkMU0R9APnjo5JFk9cRcPUhTP
e9Et8VwQ53fb1h+AlJfN0pQtH5Iqp79VGXsbdeX1NtEBRBdgPFZCpgPgf7Knkx1wjCe27aiOhQQm
QzKeD5TAwhl+W09RE7Ooe7Nt5WEMXfquHFBmE05yNh9W6jyLG1Vl5bYgLQOcsszA7RFVwZZcoqu8
Jtd5v60WZzLAaJXzHgpmEJ16fTWi/GVKxaZjqM9X3O6W+ZXyad1PfkhoWpMkUmS8wmbONzF9WcjX
JHJCfMphJ6Zo9bGHuyGUbSSMsZAPVS9pNC42G5Jm6lCMJnnSz2ZbdxhuPdwP/uPAnGMaVA7u8dnk
ybOKL9swFLKg9GwqV/RmSGRqmliu/pke8m3nZixkOmnYJWgh5ZDgdrqkuL8Y0Lhx3UEMHXI4nRBz
1CdWqLc5Hq6qst9UxDERgDNdWF2arhgSAZqJNZDQ497Xaps/DNlIIy36qGh1D+c2GdweJOWVi/S2
FDSkIiEEdVbDUZ+YnNZFPEOj4uBQJLYpJqQiFYUGVlrhATfa1zvlhHhV5WjdZtGQijQVXKTAtTve
2BrIDlv2AiLpttNzFtKQXNSoli8tbJdWM1SCr/WlzWKlp3JTDwdO+O9jFOi5SJulAd2bbJa7Bppn
SZqyfts5AgvpRr50Tg112iUqsmW/m+au/uTgbtvGopGz++vHNUFshrujyZB5u6+NKOCua8ZPNgW8
kHAk5bIoNKEucZUgOySAV06h+o23SQ8QO1bAwLO06eDupjRjjFdS3pR+acxG+UE0XfJBDPMCummz
oo3zsf51qfC2mMfDcErauY6kA703qjv1FtmTuWqz002aCflGE52o76q5S4qUr29Rm5pTJhXckt0m
PqhKKfhJTjyYVTdpb0+kU5TFPG1Fv/EBQfYLh3Fl23QTaJ7a+WwY1K9ZX23rzbOQciTLmgDHeOgS
ycbXubFXczm+3qaYIOs1qZ9pVZk+kY3+rWlnHGeMPcatPULyO3l7SDTqoWWuIld3CR0K9ZuEQ4VT
V9bTxi0TRNYRRYtfKW8TQKqOBVBf4shH8rBNMQFUBx/BGX0F0vnkXcxxd142j7GYPqeg31NMgNM+
X4Bep0ibTKI0aQynxQU4G5kv5c7U2pSndefn16621Rm1NBLJmGU9v4YrbrK/hP6fHV5rWQu4d5yP
7WlRNkzEssqhGW+WXqE5XlnRD7/OPYncDvm+KW/aLIv6nYDEkuwxh177QXYOriJXGLpkOwGn1MuZ
6yNVJEQuGTtL22L2O4ygm/AuAmavP8G0sHJP5QIy5yofYRxCrzMLt+3I6k5qQpZ1b6eaNr8tkrH0
cmQiKn63mPd9olaip2RY4H333bjyQ4EmrnaNJHBPWnhp3KnBrdEXQjVwLwz1K3lNlJ7jiYjhrMvt
sCYIpg34k7muJraf4H44P0xyZtDCrrKJ7UzV1S3ks1r7nRpyKuO6zQf8bG7SQp9VFI8sWUHb847T
cjpb16h+MTQTYnuGpmmNi3RIV7giX7RyWxbCAodZL8yJ0tE2ETxroesTxcRQvc3fhEwvylIPiWTV
JZmob1NWvk5lvm3dIc9rgpOYpSKwbu7SxOrqPOV4W3Pw82yOO1wmPgEzBUMHKSEwECFOIw2zHCrc
btRJkNkMyFBRwqFdYkhRxEvZfxLFsC3po4GfLOB669RI1CbOu+4FXNDKT1s61ttcGQ1ymkzkyDVE
2MQMJbuAASEFMP/d+H6TK6OBoxxqM01TN7VJqYx7M6h+hWZ+o8aNag88Zd/kI1wT0W2ioakcc1Jc
ZKvZdvmLhSQvBBDmTHVt4tsurfctmotk6WEuxbYqJ6R5YRhpsUYUdqQwNV8OxDZujWXEy36/Sfkh
1Wus+zmNsrFN4KDq09yxcx7ZbTc6GFH3U+HOzcPUw4CPJEMaeGSjlUu1o7ogn7atPUhqJt6vdHKk
S6peryqWbU/hjF3BnJZtW4cEiJ27psJoMZAgwFDK2Mm5OOR5vjFBCPlenZzTYjUQwuGMZtgBo0zs
YDoHSrYpJ8DsjOCqNM+bFi66wsAgQSc+wuyWQWzj97OQ7WWLxgCRqQU33Dh5njUU/QY1rd/WCiYB
aOVS92ttIV+FVtZylrLUJRKNcuOmD/IbQmH2T36MTkVem52dexO7sa437pogsOIBL26BOjmJfENv
M2Cb3661q7+OPPmbzE8Wkr44oU2RFWWXcCGn6KzUDd4hmObEHzk7fOBeHQuJX3DdNE1FpZpkrTAd
rrsyn9pdKhvS7WfbRtdw4exFFOmq2EMWV+qd0VCMnmQR5+0264f8MLinK5ArIP+cfZ+pXVQXMICi
zpqu2lZGhwQxgegKNcvRM6UjTp/VuYF7Z773I9rmt0OK2IrcADdeSZNQCsORYC5UMbO4KNm0McHC
AbyFXeuhIfAA7wjQllf3Ftj7Hza5jpAlVo21H7Vbm6QbGrtbDP20jnzrwgNkm37F1payTiC3PalI
eU6I3dYC+HyF8k76BsPMkJlhgkgyssnuyojBUcO8vtqmlADVY1YNBs9Tk6RuUAeXERPXPN8YKkOe
2CxhLm8DFk3yYYl+r4uZfhgiCDeb1h4SxWzBYFJZg+sEcq0XclqfVb15ZJbLcb99p1QMeWJmgXNG
MbRNYheSneNqUDHMGJ63BbGQKjaXIldTSeuElqo1caFUf55J12TbYBoSxpheWioaVCeSN8Wu1+q0
ZNhviwMhZWzoGmNSnTeJZtl8YYea7eRYTFc/tukxs/+e4un95ErPpZ9mDPG9WlkPKT+yRh8qhNv2
IKCqazblWDTk7sD0jzTtxqFK1kH+DoX681pmb3/8Bt/fOvQ4SuruKRWbEBwNwnUsuCHYpgUM3XPT
7Uz7baMHYK7fffE55MpNljZVojuVQnfHqrNacLcJUhSGXd1bfEsKt6wDLD41GdT4mHQxjJTY5g5o
yN/RYpWeW2h24HnEft/kcPi7K5qmmLZVuiE1UHmRwqBL0ybI0bGLwQ7F0WMi3e63GJehIMWqo9z2
k87B5XDy2o3oFUzc26R6hgJPDDNDRoUGWDs0TWFM4AAnNKvDzSbUwsTv+4aFyZUqKoHsecBySF9N
PupeNxnfdkkNhqXdl17BQEKHiK2OoVVddTXlyZhztUnpNKQIdtA0Qml93PIZNJvaXl1FzOQbFRMU
Q86PjXc+r4D4AZO5dnCntH+/Vhomem7ZMTD14r5q1DSnHWS2VYIzmAipDEKXLdzne7VJesgq8yKH
DtfcR3uDzdKeFwijF4R03D0CqM+dlr/6YxoSywSjZBHCgTcTjsOQUowbd5qXUz+cQCHmyAnM0hN2
3/NqaS8iD1XBRSeLvn5PMGUnTpD1TLLI81ivqYPpCj4qy5d1wxeyq/ve57vVZOn6e5v63J00HcTc
nePF8oHWjD2bumI893k2ndDUzSACZmBkMapztl5nGO63XJXHORXXTa46u4eCja3w6TDvMgTMzxdF
l0UrDOFkNn9OSdpOmxJJGhLigNfYk+OF5INJcfFi0qW+gNmtZluApSElro1K3kJ3tEzIgm4F6a80
Npfbtssx6t5JJaHW9HUk5jKBQaowKpawM9LaxwZpHBHzva0SBD7notqsdimTvoNZHWeDXat5rz2w
HmDe7aTNmdCiyjZ112Be3/03wb3mgk28TKIuEgdWztXJ2lXm1216IvelZz51UCPSMplalu2jdH07
FuQxPR2V/T09BTEEI5O7cnBlIiqXvwZWNXupMrPcLAWOHulsPvSIwOmgVEtDur482IWWYp+NMOo0
j6cBmu1n+Qw32h4pqh8weciaA3qCcZOozAH+KZCyPHF8wcAOi6pDXq+K7IDRva2rREMSncmgd5IO
FSitIREQ3cRbcEQbcyoZdNwiGDgCjYCmTDAcx410PhkpfsRBP2CJkEQnKXA5V7iDuy9NL8czXVl+
0ioN5/7CTBXaxC6g8vj0O7jmIFvkuYxgTAcMEoS77uad7uW2q600HAVmve7z3A9FIiUfYfpyq+I0
w9uKFfgnZO6vfcqhFUkdzpKcKXbSTb7eK51vquOoDICMRIerSlbpHk/5OUppzFqxUecBjD1FlW1H
EL2u7JDq/qTOyab6kIYcOg+D0HKry3Rf5uSZ5NGzXmzr4tFw7hfQCo+DcPN03xVzf178N2dXsiQp
rmV/qDEDhKYt4B7uMecQkcMGy6kYBUISCPH1ffyturzf62rzbZmVJwEa7j33DNa6u4iSTzcdm9cU
uoryZg0kwmJPanvQ2mQwkB6y422/frVLY9mbisZRe8dbqx/Aev0y1+E2c1hyzaGrGa+jNV3auyGk
w3GRbjzF83AbFRUm/X9f4zBwxzxFGbiFd91c6kY8RtzYw23v5erehWP1vFgyydKprN2OaerftOn7
20BFJNT8/dmbSbp5yEZZjuv83A/TXWem2y7xaypdaLatVjUKqcEtbT4uY1zsA/2Hk/fy5/+ba/aa
SbeCnb9D4YdNZNcpB2us0AyOwre986sLdodJj12dbqFaUqEYaz3NeWVGeRshDYbUf3/pUgVoLnoq
IbSa9jQXQ2Uepq1vb9NBkms23cLGauQzkaXyO2a2H8AC+Ic38y+o9t+892suXcb2BOZUdXOXhIis
D3GrKARGNbw8P8MpabprqdxJzudV0QMDuuaL2fV0hUOmZuE4LzKeD7tO6vSH4jRdEUFAWn4TAk+y
q304SEd2Iqg9tHwzR1o5eApH/W1zNXJNvCE+JfvQO3sgXjVgWbjPkFRu//Be/8NyviYQbtGcwDLE
XTo94+pzS2KxHBrb27G8aUlfMwjHtnVMJA0vN9MwnK2hW8aioSwhv277B67OKeP6ZV8rvRyWqdEH
JTJfapndBJKTawYhqk1KNFHLIblYlnk6Q2Se8Zuo4cjw+vtu1HzNbOXw4+sC2+nBZjMSIdLb6ImE
XhUSWbNAyL+MyyHtEl2QPuly4Hs/b3vpVwfV1AsRx6RyhzVtVC4QjFLOWxbfdiVf8wdr0GTjLCLu
MIEUlE+9qZ8HTtz7Tc9+7VeWea1JwmZ3iCQGNlm/14c20NtezLVdWWt8MmGG7A6w10xfR7X1P1m8
89squGvu4E4bP7tltYdxZEMB022Y2WTVbYYt5Nrsa/EzLLN4sIfAkz3v494UvL+xVsmuFjvtFxaR
GY++K9i1eBf+ik1zm5aQXDt9RbtWczWQ5VBDPVNK3zQIGoGU87YFc7XYd8ggqnZFYcV1+tMq8kk1
6W3yanJN/WoUsMdJZ8uhjU2cbzqtDlUFGt3//eSXC+jfXJrX7K8h6ee0n4g4smqg62uzqFYdA0sH
c8yMxi34f/8z/+ESuWaCVSupMgS9IAAlFVG5prQuxm25jQlGrv2+dFNx5xh+va7HthSggRVyCr9v
e/Srq7vvsKfAZzQHvelQtGruSquq226PayaY1FnsFKXmsPbLelSNSHMYGO+3XR/XTLCg0G7sxpuD
a/bhmNj+bU86euMnvdque6OyfQLWc9CiQRQSAmwKUFJvo/1jqv/3m2/kgTsuKn2IVGSKbtdjTnS4
zbkJCui//3qVIaAo6Zg+tG5uip2qoRBwrr+toLnmgC1JAOSMKKpj14375z3W23sXj/9kJf8fttI1
C6wi3icLyMoHahLoUS63tkb6YX7Tar9EJv5PQAcJN4Crg5THLAJ0vka/pmH8fNtPX7C8/4EV9Uma
VMjP4Ef4fFVDvu5gJ7pms19v+/mrfZoME5n22Mgj1WoEAbfbWPPIkmEUt+3Va7svbcWCUljLo7RJ
3sn0fohvLGeuyV8w4ppdSPHTKsP1d+FDjLcREsk18wv5DG3V8Fke94v1Ue+TrMga4W9cLlfbtIuH
xu1hykq4cJ1Go18R+/cPN9N/WudXezSmIBURpbKSgf7QjdFjNrYfbloq/4vyBRuhxpAxK1O2qOQu
0wN0141Xy9ttv381lRx1MnfDMvFjNiUbLNQzmyGvS4l/8hO8bMZ/c2lf87naqNeZ8BU7Kh3Zk6vW
VT1bjvC5A3SqvDrXavfNk9ur/0dz/a9+79/9o1fbl4e0GtduHtD7bX7cimRoh1Qf+h67bjg2FYIU
83lSiKvJRzLjbt+6YEZ+ngbNGnVEY931Kh/2fg3npgpR9YMQD9rdGIPSini8Luze5yhy9PzYs0To
p9VWPmHnLcr43OdmH+qozWMiW1LnxnGNQmhi+HQ5lfNU/9CmQUxcnvW8VWey97B7LgMael6XYV69
KfpAuu0TLOT82ua0R8QPbL5Du9kxT+QSsSyXAdbw/SnRPYP1vQJm6ZDB15phwQNaPo1vOlXoBjre
ib+Q/of/bJY5W0uET8LCdMEb6ot19Wl7t4dlQ+pSHxM7/pgA2vIl3wxiOX1OBaubb2Ob9fKXqpdL
jOIc9skgPM8gge7rhaR30rsKWz7CNMoW3rc26UsO4WR12DGySQ9RWm22qARWmixW5gNVZbruNH5I
xMrksaXLrqALm6dwQkrAWHCmV/bUxUsryrglnhQNZzOqMKFEKRQMcPNtrtk8gr/ZTU1dOommmRdA
SLZ6wpPNo+E5Qo05dCNre1dlHGUjzhKmlnt8ralpcyNQ2eUyiQZVLmpMv89OsdKHfeO/lnYP5KjN
RPvn3aSCvTczwtufiasIedyrRix1OezQqGRH6ZcEjgg748vwBIWGwPfSbYucy6KOd1kjQg+uxqjG
VDzt/Skwsvmfs1DtVBfTCjD4zKFAkp+TjW82FMOYIUmsFtHFBnJYhtFHULHsIG3BQYcv63II+JbT
dE4pgLT0zPpRNHnPenlkfTMWE9u8MoAkQmTXS2W52od4sf3BG5xRz2yql+7ztqU1kinNMqXLsSPU
bsVUN1kKl9gmDCX6mkZ8E46M04PckD56bJDshxBSrx3A/FwKhCOignKOEFJIZKcjjrAXhh1hsNJv
D2PqE6DasYO32o4xs1traLfiYJkDk5PBZC0elp/pEEEzY1ae6U+cqkSUTWVp9xO9jxiwaVQ2raXt
6GSf+yWu2WfQs2Z17AKHTEhOMbIedxql/WPS+H7/3Y7DtEAxY6Ipe56xaZvDqJuQnrVKuvlLEykR
pzje+prRnKtM6ufYuT75mXVVJUJe1VLVd96vK72PTZtNXzvPAi3geR9DjV57kkhYO1M2/Kqcr/s6
7+de/EQO66y/QF2+NwWmS7i7oPOYwhNYfVbgf56i7NfUmXU/q1SH8Lnf4yQpdIOd9KvLsMxPdZ/u
z07G9TFOZ9G9CLNwdohFq5uPc99s+6uHwCONMImGb4AoL07E7Gy9G8e/ekxumoeOzSTcTVM3VHdz
KhPzsMySp0WXkSz9Jliayd+J76tnSMije4yR9l+Qtqi887RGDmhWReXW7sLfI0Ni3U8wDyJfB9lm
stQDlI4feGiG8TmpqzY5+6ldwiGam247yWBidsfZ1sdfYlb11cdmlrUukCsZwROxi6WFiEYhiPR+
3S01TzbeXXwmmunhDcEd1fSyUMmbY9z0Ey/d1q04Oz0VpjmCP52Yp1mu7NcAT4CxqIC7+Zdmiw2O
kmba/IHRyZm6jDGtWh/6DgbHx6peNOQ1EV/rz42wMjsrrTXLXRUZ9rNpZKeR3Gp71+ViTKoY2UMZ
2c52UNaVzqdxVDo7pkk+DrvX34iTeIKSxnUCO8MNT9FGtTV5t0V2PIwXS54chnZ7/zx7CNMOVBv/
PY2DZ4hXq5GgXCAKgj2hXKr/VNjCvOgQ1KoKpjydvoQZ+YwwOFIKlmc56fe9PXsHlezngHw6U+XN
7PiG837XfpryzuGa9jkQ79X+8stK6DsiOAwuhB5uNfLjgF+5fEjtFnNAiCMmnYfRp4rm0H6O9G6Q
iewP61qTIeR14sT+4DdbA7XYkCwlT3EVUCNCydY0Z4uUtShHdG8bfWK0N2nZZGyJShuviSx52Pfu
3cQ76U6r2728W9QUVeXs0yo8EoR3vcaJ7dpPQJHT0OftMDh5hGt87e5ljw7mOQBXEsesb3Hfuaqi
M3jeWbM9qjru+mLaTeKKTCO0FLoFY6vWQz232+Sji3sFMcaYOffabjFPTxNGxt3zBKe7ds7XkCFA
B77i+eyNTM4Jkda9UDtH44+03cTwyAZiscbGRg3NbzKIHStBwbLNHqZatOsRf9nWHajqM/uGAOWm
urd125EzRLRseFpMisytA46jgZWISiLVnx1WyfA0t01HkZzc1jW4zVBgYY0I+CjdN50L+qQ7RcAZ
TsEhjg9WI/UwX10Y00/4N8X7mjRu+z7ANB6adJk2U1bMsF+siwjnU1Vsld4+dSlz5CSkhtaFjiPI
qmo1IiqCXhwi5czkNwhIVp4UGCiI5hWPS+nL5kPdnqIxzTA5aqs+Wj4rtU/jPai7zY6qaNy3X7g1
7NjDIzWOkw+XSQ2JC9LMfH/aY5kpi5N4D9VZdPj0MJplCBx79DiQ5xekX1hzjl0j3WlzCM6+3Nxb
A0+AGq/R2txJ7PIYfnX1vtTF3PoQPhC5DRKhu4tgR54pnG95T3xnXmKXiPnHbqzOunxw60bPISPx
9pxh9TdfO7shggZ/JJmqlx5wmP8oerzE+z3tzFaOZKHuhPs/0jVebqrWg9859zWKJzft+JimXo+r
7yP1xpPg1OuKd7bezx34gy8I2W3aIuuayX5FCHRKv6mUB6FyOITFo8abIkP9e4RnavwK1/pM/pjg
vNJ/R4h1n6K/giEiKVSXdvykuLMB9VsTCzblc7QEXIXDhusD1R4sY1lEV15amDRMAbRRHv2Eq3zI
ihiXenfel7n/zBes70Mf+4EV7bZj/qL4mH2hKXgRBQmi6gr0ohlHIuLEl7t04JQh3XqL1fysm7mB
5DiBfedRy26YnojSPhpyBgXWj26a3XakSZutL8kYG/jvYs4qP2di9M1xHZCU8zqnDfkqLFJeSptV
gAJEGzn2HEZd8WNsOp++YP5Exo9Dz+3+kHTjPOHAzLA3QIsHUU3c9TBRNU+VGqTeCpFl9WsA8yUq
Ntaq9aPd/QxBNHSvqS9gY1j1BZdJq196C4wpb1Q9zAcSoKsdjpCoJUgdJ+NYmrhK8SXaZkieskVf
klyZvRQ/Amzfpi6kWGmK8OU5Tpa837fwpRMDXJPyXUG1+FlD3Ebea8umRzMuqLiKpu6iIungChcK
nO5rzj0j7ku6wPbgVDOvcd/zLUaZTiDg1S4PJIvcucUjxB+WaXS8QC48Eq1Ds4x3/Yat/o3Gxq/H
lPdDgmQSA8uzJGuJKMkAHmluSbIfJS4jj6BzWnX2eQF1ClHkiik+PPa2Ci8iXAJQd7OTBytEHx8E
Emw2XKMoOUqzZzj2L2HN9blnI3Wfl6FK1o+XXO8Cg4Y5/R6Gyq9F5ZvshHINqZk9VDQTpm652brm
1DgNY40MumpctqTYdyeRWo0wJFY6E6enGvXAF684eahhpaRyJrvZIjg7ZTU8W3WKoOysY/fC1+F3
BvVP95Ri66i7vbO7fJqj1LzGHhavaIGIe6yZSHfUTklmXtdIg0nuNl4wyMifMBSBWBvhpQRu5JAh
PwUj0rfJR/WhTzvW50pt7mHtByRHezjolz2WcUG3xSO4vWpPCKuXjwurw32dbMP3UK/dJ0kGU7Qx
+zBQo95oJ0eZ17G2oJ0sQ9/P+Ra30lvkcNdNOAakx4UTW9P6nSWbvnddELLEcmaF2pd9O46mo/cB
9MXszUeCf6oHD9ZCmbqRR6dK8dUPeYWVKyCTD038u3VVcG+UMhbytVWbAJUzWX0o24sfwHkI2w7b
FGGSoJGsO882RR/Tkqkra7Ym0f2aZFBjQ1bq43vTJJV8ttFm3XGFzj9+39mQskKGbHUPS6Zp/R2V
q5oP1KVRetKtbrPHblsRxL7U4zrkPtFGvJNl0PHLTBaiD7BpCCMsCSxrzlO0yuFb1CBLuCtoaGlb
xrZrXL7QFqWodAtvCzOgRvF5RSJChjzQsLS/NkHJ/Lhu07r/RCiVRznUOEGxugfsLarzDoKh7gAX
nSq9M2Jouw9bgt7/MI0ZUUfHce6U6Ghqfp4v9LvDzFVKXiCq6egD+LMkKRO5UXlOIJva/mqhD1Av
i3VCx0WQ9drc29mSmOUwFBGYMe5dOoQPaI15ii4YlM39wdrB4lxoRu6TJ62wJT/1aFb9t5728pxN
mDMRqzz/lljSR98VppRok7eJIgQRIHRTYHWgWMqrZcXpbs2ylauqjfjCoOl378LjbP9q7SzTrqR8
jnBfVSON1k/M791W51GacpI7VxlVyIoM6bPdxRb+yiD3H36bFmq2g+iQJPgxDM0mYThAJ/OKjGfa
b4dxhbvrnWyjdHpl2GU4EWNiZoHjqdk4wMJmhKz51JG48SfSN32symw3KAHygTFWwwZ+Qv+Biq+b
i7DqSy2CGBfnP3TOmNrfyb7uzftgo2k9Tl3k5NlauVB8sV16U87psK3fe0mhRWJNL+135/t5Peo6
VlEh+yV5aOe6YsWMabJ7DF2X1fgkvIUY0AJlL4xeZxSlM4OdzPuywyUXAum5epzqdL7z1SY+ziQN
DtUB3Xf9EoZhyA3iOnOIwuqFIF9MdNMxeEFDUSPhdDnvxKJBa+TCc+v8FOncLc7bDzzxvPlrRbSJ
OOx9HDcl85d7Na8tMiZOFcrsxxbWXFh1JFHkvuoQmfqg6zB9kQIvoSTOZcmQxy14A+922LsIVWqI
o7ttx7q+Qx2Q8HuHK6D74T1p79ACJPLbBItz3hRU1nH7Ua+0aWAJnSjWLjkWGSWFwKka0M1FEM7t
vEnaZ9H5eC8MNvxbn1B1GKqWjdhq1XI/xUAwnoBXEPoqxo3193418ieQmK8oPVzKEKnCQAGfkBGT
fhzTuvoOP4uuLWuFQ7HtTP/kXIzKbIfBiD8PXDSF3gMCR8D/j08tN2R4mh2xw5OpFvuwaD11PxAQ
7f5Ec29tuS0RPmO28fd+yS7DnV7gbt8y/85QS7iy3mfU6uA1uS0fPFdHiJUlyzvta9QGGFWuCLsT
G/BanIQW+I7rnj3kCEhgFBekB8Jv896jGMtTCgb6GVC6tI9kFnP0SjhIfCAF8bFezyurazfgoywh
tlB0V1172GIiOn7oBGs/1DOy4Q8JZA7zX9ua9msRNUCuvsOrAQG1hgqbHcYmDSmWZpt+Mi36kbsw
djZPOxygOl8XgxS7Ol2aX4Iqm74TvzRrEZRN0O3wbFi3vFvFEH1r26T6KS6lyUlsUJm/Bab/uH5w
GcpdOScoZlXWLyeJTBBRSGbUn4liy+YCkR0FYkHi7DDITPwL/OvJjpcQxAH+llWGVgah6sct5Z5/
1XUkoT9uZQVkMJIKzkhWw6KgRFGi/D1l0/RrGDaS4JzLmm58h1Ob7IrUNJ6cOpeF32id6/3BDGn1
RzXDLinyv8OaPqrGZ/NbVMWM/kkQmUF/o7VsgIx0NX2Uk+lxdsRNKNI6mf2rkRXXkBphtpTVrI5f
24gxoNkoPeIH6mEoepSrYWm5uT0mh5Wtds0HtWyf4ImcZF+0keuHKMrsF1Hx5A0ECrffTRXUIqdo
QmO8DWpbDywTMPTdu1V/wTvvH8akB62NdQjghsdJNp2nRsq5oHpUPtdR1X+FUnfLZwqVj9aZZw9m
09ErZ357YnJvxHGqYL1wGGjY7mbEStwleojPGWKSceaNxL43sqbhRdcT1MPrCr+fnM5L5T75BRav
32EggubMBp81XwENE56zNeA9pL7rcCxIkpAJFQeH/ljE7q3ZGIpEAiihrlFldDSCPSzfo9KABk8P
VNTATTzi1ZFTws3e3qU61u+wX+/6j6mYIALfkMDwscWD5KRdE70UOLaD87kBNkZedN/wrCAaj/M2
TZWfjt1cdU2RZlz7nxeu63kaB6UeNs73Af9GH9mPfZL54YXU3KNgCy05CqGj6QQKJfcfAEWPBxwT
43g0lHa2TJt1SECXQzDsYfIxDhH4Y9zjWwCOqDSdNNptD9LyGoL7aKOmW4uRLslwH0Wr2u9gP7b/
jihik/IB0ZAP9T5t2D6VwOvofXzoZbYU8+z8PZkSFJxNOz4E3dCPYC/PUAjA3xE4B4waSMarr9EO
OvlRQCET3oAzbSsuIhsnv50wdcqRgdPvgAfssOjxPGJC0X5v9tmqAl8KgnfRN6jMcWIOqyqaudLw
L4d5kXyCRZrghfRML+dtymZxxxHLjWjUamWizSMK28Ojl+SyCaNurWukK87omHD49GW3W+nPDqIM
mafT5gZsY8y7/iy4O6uzNi6uyxWO2jGYmCrNkvcpQ4VWrl6apuDZyqD1cSz07y2DTU0Zw2++/ToA
0MhyNS5N8xZvO06POopYcs94omihZDqk5QQ0bC2mcQW0lUMEtdVlBxVa/JLp2YgPCARp1zzABVof
llDRKQ/pnqGCkTpxvyKDVIWcQuohPyDLZuV3TdCe/2L4o/wXiwKVPVKbDLzIBt6nr0PtY5gmazQF
TWuV+hgg4O+PaWdjFXIKsf0KALMZ9xqNugPkgEW9oShEbHo1I+ta2uqpmeJ2PydZvI1PUgOnzZkm
Hn7pujF/Ykra5jndqxHknirux9Mi1ih9hcCOM+wpQ3aP+c8Y9BH5jd4cQRfTqsBUhS4/R69shIDE
3YlzNABO+RoP6vKFGBqfMjFSd1AtogFTzwvww76AvsLZJYcXS5I+xCylaC6pi8ZTC57F+tOnQdqy
Yqxydx7ntS8N1bo/DISIuUyRSOP6fDYqNEd0g4N8qDLYr4F8OVziwZCWNpVd08rtvnIxFwV0IrWk
JZwYYmyotlKYZ2MUOtX3bN3IjprF6ewEkGDCtH5GbZcDh036HMrCvStnLIPhmG1LMv/hLe2HCL1D
kjmCvFuYmPylezVAz9VjQuZwmSrUiVkRDUbesVSnYTv3iSDiHZ7Ryj16tPabxh/eZl2GGmQj0wvl
7bB9ifDXyChvEkem5Xhxs0ZDuop9zZ6XSwf9UEVTv6H4Al8WBlOhquuXoBKLZsUshGGDZz0wK15g
1kLRrcZWyfFXG9BdgyAXuIr/GLdGM4oBTtEwTQ5y2xVpNZO5t3JaxAvF4VGjVBTd/rtvMI343nV+
6o9ZnY2Rx9vVZEQWMzPthwzlPvZyKnlGjxql0fyn0Rn1IneJhFuz59kiPifA51rEvwD/dz+lyZb+
XUfLFL1ONQY+H9ZLowrHgiCGtODrDF9jyOa0Gc6NwtwLiyTT5Gg4Gh92QI7iMj9AAVhTX+yYIU3o
dFvDW17GlDnx4DUmSY+orgV7RFmU2U/j0PXmntfET+doQVb6dxLHVVywS812XCYVLfnAUx89TjHc
qT5Ei11anHGwoS8kKuPxEBYlzHNrHYQuisZ8/bwP4AUWIrYY8rRkGGExY+rI/RLM6uoz8RaH/4h8
g27d76Md8d0oWeFrOJy9rklAPYWI6yLhm1tOYRolORmg7P5u6NkevwNVpPS+7TEJLHSsQAA4QHga
G1Fibe7Ati6IWnScTZouBWGqi3LsuSembcgwa6SwxzjGCajV87GNEsx72IgRT8gHRKyJPMybpqVp
OM1OblvkftLZFsUjLN1Sv0hgejWy0qZFJt0jTYy179TCVf0Pr7NFPaKwbflxoM0iP3mP0Uw51KKr
oU4EIe21HceBPVT1MPafvMCLeQip6O19vCBS52nFs6ZINA87fe0Wrur7rTOyf0Oj11ZrES+oluey
m4QCbJ3Bo62NiwWbWUcFvD9Y0CXmgFzIYw864MXCmH+Dg2Fsk0JKGGCqg8IoyC5nFGAGL9bxTptX
3NMjgGeQcTBKQ+0mwyeC1w5xlaRNv79helJtxxU7+Sj3nT+iiWbRQxpVEoUdi+Fel17GeCK9izvG
9F3f8Zk+7sMEiW6Shsl98+0iYVrRL7AOObpab6HJE88ox4wzBekqnq1YCwZgw35XKyzrXyfYLtj0
eLF6TYBpbBTh7sLscu0Kqbzvy6DMJVHOWfZMTZWN5wzicn+aR72Qsl6DHh9TC58aQKQx5q1TMHw5
tgDxkzyySRIdMaN0bTmIWqLt1LPVqJCIasmPjSNF/qHa6277CEuGzAF7byqz/yYjJfVP3U/xcI4J
pI7nGKjv/AR5uXGfB1hSo7YZabY9Jllkw19hpp1+DKGOLAC+LRXFLlGO5MCXF8xWWmtB9ptd9rTE
yvrCBQSHng0eoSuXPU37Atx4hpl5ll04qqs4StCDn4cVycBvse9r+2Tcnoz3HLF3++Vr8wpaB+kC
kuEtz7qfgPkiUnZURNrCrBX9TGFHrHZ1QGXd44LEQXpp873R/kVGZiVFiKLEYLOI2UAuoenlDUoN
uAqVhKHyxfJ1iKBLb3n7e7ncj7/5Ap097A1ofZ4nGZI8xnk3fCLGpA57r6ZqdrkWFkJ/QEwIiuJN
3MYlSWkEeg2p5+o5bbjzRxyj8EJch7Fd/7hu09vjtHNFv5htYRmal7lb7kPg+/ZFcKXXl4uHIzlZ
tVS5gtnNnKMarS9gud5W3LkYYL6KECS/tw2UBs8YlCh4MKA23gFtzT1QK4rgyoy6HxCuziKHsCj1
h43pHqidmZuPoEkkqIhWhDJ/7MBsxL2IjA14N8pVVPKd61iCrj3GmGetd2Nl5snlLfR+WT4J8AhI
gdm3Wf4ASKoB3gKwid0PoBV7G+XMoXztcopT1gFDHCaoPXKY1KPvPG6QhyIcaNwy1nyDwjosJl88
QmzmO7U62naFn+Efjjo0ZhtNSkMaUDnK/7LGwZ43ouIOkyriihiMIJtHws1VAaNk8kbwf0cPq29q
fZbNBfut0X5v+nJmZtXLlFpzAFqwL2AqR1V0/q9q2eIt2Gw4wah728qYddOS76GhLxhYjUvJKoi/
b2MwXTsLsZCNahrtcIjl1y77zNbbGOrXhkJ0ICvGNfhd0n4UAC1aeqOE5tpOaIJbo6xazo+4JmOA
SHKNnyxOa/sPGt7/YFiFkcHfiXqAwlIHRhomExH239xM/03dmS1HbmRb9lfK9A5dOAYHYHZVZo0h
ZjKCQzKZ+QJjJpmY5xlf3ytS6m4lpZK6yvqlTXoQRTKCEQG4H99n7X2S/lhMSkUGYtfWCE7amDIW
wHIa7TJ3SLccsFJF9Spl5nP6a4TqShX9GW30DiyLaNHMidJam4ppprmf4Ay5AR5sPOo12o/04uy/
SRr4VzDVO86sbTouNZjiDYEAjfXQL1U4+HVEnetP7Eykk5JIklOVzkv5N+/wv0Db3qcTpfBh7Caa
uZE2Mzl6YmeCBq35b17Qv3r0d/RZzUS/zoodE3Kk+JK14mmy6/A/g/LUd3goZXpT1FFobhbGfrhx
u+yTIdf/wwd/R5j1QvRlNUhzgwYd0EhN3FCgPP71BfWv3pV3eGg4j0lvOoncRKrSsaePoStidv//
7NGvz/o7tlXLah06iPdFWwuyeXuHKZNr9fDXD/4vrlBV//HBZSuKqZ5TLpfYcrTXDk1p8lS5aMwV
srWidusBGnuHU8is/6PxfPr7PJvYjiaLGCFzwzhU86PRtN1tKpBX//oFfV9c/+Tufp9mY6WLjiwU
GZvCdmIUaKdcJpor/PO2iF4+GVTe/J/SEKXcJnX6mK7Jo+BKM3dhlwwxZ5UoDpjO+DqPOqOb3d6i
JPv1r/uvHxIBu3/+N19/rWoO+1Hcv/vyn49Vwb//ff2d//0zP/7GP7dv1e1L8da9/6EffofH/e15
/Zf+5YcvAuryfrkb3trl/q0b8v7740dv1fUn/2+/+Y+374/yuNRvv/z08lokpc+hp02+9j/99q39
6y8/aeLqNvqv3z/Bb9+9voJffvofXfdS/PEX3l66/pefHPmzKnTNQUk1pLScq4N7ert+x3Z+tkyH
x5aGoRra9++UTDyNeUbrZ0dapnAsyS9zjOae7qrh+7eMn4XmmI4tOc6auiXET//rD7v8eo38+mHw
Tvz29T/KobhUSdl3v/wkv+9K/+daspmZpjo8k3CuZ1qe690NXsUUOjH96F0YrzA96qzEIhhEqKdE
SQ9YCu1qzS82NHTMqUS3S2+Mlt5ywz6lQI17a6TByhGy9deqF5vSVlcTkMgcqh0R2GGyrRZDARdp
x0ATwrheqPTxlNJKDoYJVehGg43U64zJXpb0vsyyuxhJqd2Bi8vbSFtogWpKeZo1J9l3UTjfDJrx
YBt15/EOLlu1Fq1fVVp/Q+72hqrZTw0S60ypH6yi8IjvHnzMHCtRNiPzIXvWdEjxamMt2eojnGuB
TtHmVY1zE0aKuB2VLtqC0H0uRZJw2sttP+Wc7q1q52wqU3+tHc30JsCnssjgC+oEbaAzV3eYw2Wf
1lV/tzrOdMgSNX51Gjl6OdOFD6XoX8gEt3eqpbabdKjZJiG6buxEvoXAMrd9M7+uiEgbarjcNVLl
VjaWW6XrF6eJ90qkYxcPP86NfsTefTKs1O+X4VAYgnHRahmjYihfjcqeNuGsv+b5dXhCxcwHZO8h
XypPm/THyIlHsNx0DcyMRIEiAuVqRPoRIGAOest6lql6SlvB2c0iYxP0NxnmJnCiBtR1UMajuLZY
tUYciqJatktibGdFJi435yVra5gLUJsiMKJCo+FvfFmAPfyilerdqkvtvAyMdctRSz7T8EDcg5WL
vmqhhC5LZx5h0JVtKSbja9sOyjYfGvtcFJF11Ge5fGudnuYOAEPjcthcj1lNR62Ns7Mq6uSb0U4V
nDK9bBEpoB8dTRQzyfvXmjB4sniVe0qHQ0a6qiciAXG9Kq1+1sIp3C25fQH5c/xJrvd2XN2hd20V
1vHLWiTT3hzzBOmIga6umoXaxRmrxk/M5WtO6tHGVvLPhT6MN50l94qWrypR7F12b1l0Ma26SY+z
Sru0kfaG9OQpKK+qHBmIy7HPrDNtMfO+j7pOnCyLhixngFI0fon3AIQH1WvYkEs3JIhuTKpm2nvO
IIZ05MX6eU22pJvKwZk8OdAsCYw1LNRtlsAreIqSavetbTu5mzJQb/RRq8rMz9FiECDgiGhiqJxz
gs6yl4hAjDiRniWq0PJDmA0MYSmYhMuYlRiWOmrH6KQYSdHvBkTe3ou1rEOzyWghfFSyFDSP+9nu
Vz9jmFnukv9te9pol+Mtylu/7Airb5dj2MT5tLFnM+ckU7at/UD2qVntMzNXKsTGZHV43pQCTO2Q
Pr1IU1LGcYfhd7WDLmlAz70qvGikR72NkU8gQMxmkkGvqUnMZGBG1L9W2hgXXiUYBeMDv1axWxI9
9Fkl7uljOXHHOH0aXlpa6IsP5kbHD4E7rnahNuUqZzqlKD2Zztf2TJUz+BF8hjeL/obbjkYw8Gd8
yFKVO4TWgMsoS4DntCweujTq36awwdKRxNOExpcmIrvIKi3SzToYpR0U/dhFt3FW8ukbtCK20Thr
faCFWZtTltir7qM91Om2GGJL7GXT9vnXplWGZONYAL6eVthh5xqjWF9KBySimYf43ilXlWx/yRMO
deb3ohh5oTXplHsii1vTbegkovofJCjA50wmNHgdo3+ZKBmBweK5uRk4K5QuZr10X8xyfbFN4Bbm
grrMdXlMe+sRJvDZLtPZ78pm+WSbU7PBJpDf6Slu1iGJKA7Lsn8wLKuitdXZn2ivt0ze7o31s1DX
10kOIZLKUD7RsMJDXvpKl474BMBHJI/bcsBWhYkRYJ7G4tS3ZG1uHSXkHWV6GIxqxCnKzW2lOS9t
LgIlnsNhG8EU0aywsnYKNGS66ciq/TRCenPEg1d9YBBmrt8Du47hJrcsm/ZyJ4+dVgJJLLRP5nsz
T1ALc6NBN1DzLH7ILRG/KjJHR5+SAmeb3RrJI7mi/fg5qta+PazA8esmHpNOuk2ELpZkyy6b5i9z
nIa2K7mWaQVF0qGdWa8bEXYprbVuvPT9kpwNpYy8UZ/nG1sf7hgCxASJWKZ3Nrrchq5/+UFZVetE
qvH86QoZ3tVkIRIEhbPskXiu5W4B5Mgvo1NVX0qQXQaFrNM+HAtLcSeAyRcJGH2ndE7rWlrvnOe+
AG/rRWp/iTR7+JgnGXkmbWkmEsPkAO4W9rr9zc7X5lQvw/QtjMdp8BKnsvLHTmlQ/CwFhFDTZRwH
FoBA/i2xZRt5qRKrt9k4yvuqEvIj59x0iyiuWRtkcpmfRNnMrAqg70rptI9V1NREXIMHv2mWXX0b
LWV6nhptqP3GiB1fmgXUiEh7urJwhs2ZY7N+E4GGFDc5tp1HJdWb4lTWs53toNoNSYSVMqaBo8b2
s1VFeCrSzpm3aR1W2kGKzHitkMjuZKbZjyrNyhMB/Ik4MqzT+oCL0fy8DlcmY2FVda1iiZ7lqKh3
2iyYm5Yv+YwGqY++rVlyF9KiC0RkimMcaf1+NGj4u5ERlb45THDaFq2GbGO3bdF4KwClRv987T5A
aCi3YQmz6s5R1wyujPK1vSGT8irLREUJPsbU14WeK9zdoK4LJqG8rw4IawT1rbremXdtOubPRRdx
0VVRpI9BMY6h7mu0e9ODU9K92tvh0Id75DCl3amGyv7XRLYs72AQleXMGK5Yu1No6y7uXKX9uFFg
GG0AQAv9uY556f405RGUm5JNupvYIpuYsOCY0SkpFbl4YzmNd0ILk+hg1FhlTvSkV0RJ5Cvbq7vq
3qkAVWmmK8twHzaJWT+FNBPnAgg3zWmQaXQ4gzLjlgfodjzMSeNNZgl7O/WN8xjOhbxDI58irwhZ
9+XcAAobq75zTHv2a6L6duxnxZmwjmJnW529HY04xnQ0VrmvAPudutBgTkPJDJhjAk7VeHXe1BMX
xNgCiWHOceeFgMhBV29psSeEdYb3Kjc8GEwSBr1UGX2a1+OzLWjFFGkSfUi7pvcymiEM/6tl9GiY
URzBVrM7rEo179fFbupTW1U22XwGUOdOzpz5YFh7qBta5UZ/0bRcPdudxRBeJdY/GFM/MyYuUaYQ
a0zGslyAeDHoJU2LvQJY+mEh9IqPGdU0CpxlGB5mPZ3qvVjs7BBra/TKNsdiGbaTObsIg3q0Y2Bb
GAjOHy+1KJzjYqj5ZTWqS2OJecuRT7iAr0BN5Wqeqra2aWuYx2Y19aDU+sdIJplwkzI8Toq5vrBh
pA+RpeWv9VCP2yZrRENTVMn2om9D6H8MZa+YCSjBKhO7XK5OO1rebFD1HFukXCdtKgK1I0iy0S0V
BklnI9he0f7wxox7h3FtE0TwNM/rGay9JUlmqb7S5fnaN0qme71ICscjNsWkm6fnDjFgecGQkt8d
zv7kzPOjlPHHE887vUSfyS2qKsRro8oRu/EctYcSmfzx338a29AdSWOH+crvJ4GNK3ZaMINpT3TN
VLppFBHtvDTG34VKXHWpHw9w189XoLWpnAg5z/0ocwhH0XrbIUF0JZPkJb3u8LJfORFE9B9jb1ay
5C0fUTpcoy80+2/eTO1HpfH6bgrB/HELeM7idPv+ZSb4j5S61fu90Sb1Jr4WAppdyI1xLQ7Gqcvv
7EZvNlllLJ+ypZrhPObnUXUeV6oL43uZgWyfXwuPEl8HE04vs4WpTOq09Q4qvefvHCeTPZUpyc8d
4GDmVtYaujWMfIuJ8W9c/398QZyEVYsjOy1FTb6PWlp1I7bwb9X7lZYPedBZEsFrVQlQySBHhz0+
ym39b0THPz6prkoVm7hNZSqt9wnjbRhGxgjhyJNG60m3dGrp/hPxwsypXpqXv74yr0f6H68Ynkyo
Di+QRzLeJ4ZEjq6BzBT9fqK5gR9ee50zZVOoc/83r+qPd5rOZWmamPAQOfT3Qwg1aDaCtpIStbPQ
+rMh6pCNsxTm8DeKsPiT94/eBadIykRNNf8QN5mBHZirme+hKOUxHigpaIfE0Qn1Qx98umcaI5fp
g2Eki6funE2DblxsYXpsRPErLhqqv1qMeIDaIVx3DPWmPmy/14p//eb/4T0RQuPSchB2eFvM98kh
EShk31Z2ss/iWLX2tT30l7maOSz928/DyEXTNJ2rkvSHWHPZxF0TRUO8L/GxD35raWR8RCFDWL4/
z/9rue8m+dpWXfWtf6/3/SAR/n8kCgrzquT9hShYvsbtyz8u7cvrWxf/Xh389Td/VQdt42dLYiw0
HZMlnO2C1f1XddCSfAc4SQpENTTCq6H8N3VQOD8LKW3ruvIK+xoe+ps2KLSfYbnggHg4th0aJP+G
NPiuj2WhVtoW/Kxw0Bq5hd+HIEomeYyCbNJNO0RT9xAPtv24WkpZ+2blyLNhYWv0FQGUUapztSGS
JQ3ynjPz7962P9mur0T6DwuWZfBnQEE4cMdoqLr9/S/9XZuAOc8yURZHCyoBvZHZywBD5YT7EaXp
ccgS50TmtbsitBchGGBdDTs7d5RApLO5438lG0Vk1bbK4uKzGWOhLWOwQyD1JEEFC82L2mMrW0EY
fE5aw22cJmyXaWNmgQEucRd3NNkTQqT3NgSPpzTKCkEZ5WGgtNnk66a1BGVEEU+bdnoWUJJwE9Is
gYUX5yih6RfX0fC4p/z8wkltFvs2lPNLhSHOG1LjFowAkVSmyCdr1+svxDjkN6ZOjKCL3MewLQZc
HGfZewlyxRdd79dXkbXmo8NFgMKqj4c+m7pLgssoddM4SyDPp+oLWTDdnl2rPVOQioNaCc2XWMY3
Eg3gAiQa+kapLYGa6oe8qnf0DjEhYmX5gH0xR2wyyI5hJ5fPYgipzKSqfYgZK7tBa9D3aamH7jrq
2qmJI2XDj6jb2QqlX01xu+sM1TlFij7tR/va917yTblEC+e9Zjhiy03Av4woqKemDqyBOCVvaEp9
s1iTGYTwxEROyf7RbNTad5JK962o4YBeTuaztdohXQz63zpRA7u601deWnNZs2VxC6lMN1GRpY/D
NCsf0WLGTQpzstNQ4d220pKgqerU09d2fG2K1A5kkZV3RkFsoUs4+XDDKN72kES64QsYSlIbboy4
QcRSjnYTo3WgeW5G1TpbehovqIKRQBwGsS1KDn4m+K2Vlc42Y5yW23Xyyvgs+U7Gil+Ga+Z18Byd
7C7oehL9BRDCGsgExCmf7HQONgx+bPHOZVn/nCAqbcuur6DHot5bSkX5Yq3NHNhjudwWJhLXdf4G
qL9C7NTVWV9z+rn+l3yNwAuovOvo44onp3QVMS43kUEhmseVuFMBuS9DMc5ntVZWr4Ex86eVpBPY
ujMmWZw0xbBu66jv7/LclNs8N9Y7ow+x06xK4hU67OQIHHHJlqQ80wyPAl1LzAA/m9wTUWAgISGr
QHlp3mj19a4iHe4pL3WdT9NqcDVnuOKd4psO4BCIySkeiUYAxoOL8XkMYuXjRu7GmVSnGYfhvjJ7
e1uWEXp9uTiMFSgsDoyK4wRtpNrejDfVbyM92bVw70EWLerMOJUKfJ84AJPjBF5HlgjJvdYRsa3U
M8aYsliKXUqD7LDEVsgBcZZnrMv6/TjTKiy727le1y2ar3ljU8Bu07wcfdBacRPZ8dlhkQk02zir
Q+HlMb7XSC2H4yj05OtStfG3IpoHz8np9Avi9E8LbqrzaunNc8Sqv8MPJQ/tONY35WT0+7UczY1C
IXXu+LO9BkvGfYRR6UWr7eQg097c9dMwfG2NvLlnZbYxWFTtZ60ZUsC7NATtk8RY1jBxJQBuJLO9
bXAM5+K/2hqGYdmaa1NMPmZD1PeuboZNGGfTxuwcu75lyOdU+uQvpTcDTJ8ft0q6SSMgo7iyMdFQ
ocaewBzS+1qj6iQ/DaPOcGZ9ksjL4ROGxPBskCWxYkV0Ks3FFsnn7ABFYGEV9nCHjUjmrqZ27VPX
1KuXiTA6y74tDmx+402oY4RjTVu23TKUh2kp4k+1KMfRs6OW+zoeQbZn3ckIjp+Q0TS8WfoprjPz
cB2kagR67bwtxE9E+7osm2Aa+vJg41N9NhJcwWta4dcer82nEvJ3W4J5r+RHOPW3pKJ1EIRr239D
XejccFz754Jsk10tq3MZKx+beep2paIKUjrIbLBpJa9unQunuILQPff/anyCZ5ZM2I2j6pns4Byj
9sITqJO1DyesGUtRlPuYngOixfcUEkif/EJixCi2RYjBbC/TZXROdYH7+g1vbjfci7QwHgir1edN
Xyv1S8et8BKGWvlU5bFyQ/AI57ywYoMORMuzFc5KmHBK8gSbVGg8ReP4nBWOclxscw6PqoGWJ7GG
Sc/sYRF/DTRhWoR+AE/V739NNWHAC/BqsshvYtHMe7ZCZtZMFlLOXd911R7fXPIwAIA8xIKwFh9L
iGbejoXTfIsK/HBBnFjyI/qf/hXr1LLvAdNoFo3ySAvOfnMKiymGoaamO4UC/BSmxhy7SjM1Dwzi
kTflzLtKHLK1HUVjuAYypLzPQtl8KgzZ3Bus1g9L0TQ7wo3GTdRFACH4FWzp4nKZb/Q11HeGmUSB
1VG7fE9x7MfJeupiNbfPHcnx6WHM7hWwsCM2aRR1gjgCNavC2ksJs1U/Vk6bfJrMdCBVrk6gsoo8
6vUA2c78LCH0y3MKTV0FfVKuKcqRrQa5UNrOZXyvuBOlXrHcKtFdPJnTc97W4oOuTPoD7dHi4AgC
5TV9rs5hrkQfSulggCRiDjRz5CGotaYUoLsdORInEykfWn8UlgG469gK7D3T6EQzdF45rRXU9qxt
oNmVq3kmHD+0syhTH4kX/lmW2Xy7ZJy7ghUPlu6uV66OwcnVvEvFNPhTFO3Drpq/xGixftUu8ceI
E9uNpUcFdqZYeGVh6B5NC80j0manFbj4FGe2oZjRbwbGtPtt43REoGLHoxazt/NMqASLalaAPzOW
sZ+PdVgqBvlFmFF2Fo276dBVaXygnCFlSANyh08I5SMpEzH+7Jr9feuklrgwtXcl0IIc9WytZOel
rd7e81sbM12SbUungBgbs/RlrlrHKeqWIK6WqPDLru2e61CubpiaC85NjQR8DPdsRzrBD42puJWw
mJdUrdF5XBdz0xtco0bc2idJloibRC0StOHWxlus7ue2fEabfyEqnVYaU+Ks53acdPqYYwjmT/jG
F+rLatMLswZmnJfxoxIvzSXH5BnoWZjTdTOkfXtFvdftAhFMDGLmbEkxxmqbOfl1kruxQxySW5N5
rT7kBrHdpDfEnm0i34mhqIM5VMVy6WZVqw5VtZpYjgpCJ81Yad1Rz9NjkjnZ4ziEsYvmqG4hmfJ9
SoLNZYxjHWi7rpa3UStwXUTVlH60e6S1UjGx7pEmYeleCo1cI8zqVRFUha0RI1F2ahq6zCJmqx2v
2UAwoYmXJvVE6ElYRDtznow98Uv1hlZVeSqxttymk9Vo1LfZ01zFunYYo1Hx00lY4c4JwybfpXZa
nmxaETVZIuaOl0z/cmSOBqPtxZehi/SLMWkddXW3qA+sNjGm+Ri42Y9nWtao9wjg4XjIGILdZnRV
6c8FFD1MMw7L6DSZJha7IVde1insuy0OQOVgp+kLI1kdrMdWrLjLquVvQ2lF54xVkd2/L4j4Ad/E
BbmEi58ZannDmHCqN2VUn2p82hc2uObIVF3j6DgKLLpBWJEx4wzCqht+o/2WBxlay3k2E40C2qJn
W00kYBCBojwpcmUNWeYwnD2nLmnS1kUXWLnZ3K+TNEJ37jX9tg1Vh8bLOr+YhOfcLaziWy1Cfy6A
SN1ClLk35N1bezWnYItrfMtk2ro0GYyOdit8U0y3YUtRkEz6UecTCtIls4JRqhXpW5YRSDYajDZN
GhRJaN0QpBM/iaG9bTTZb3BLdNscpnTmVa/9qTWj7EhQhcVCouXDDh8vhVsUa3vVMJerTQJmIy+P
eZV/kFrxpoT2uR/tCudlnNGZzNRNEpcTXQmbnYmhXpVlda4U/XrOm6b4Sl9vOFdUXzSnwohRyFm8
g+qbDpb4kpHZ3GOH3WR6BkU4LztdMWLOUuvkL/FSbAQbEska0RKnHjEnO+yui0cD163i/ZyYh3iR
BCtEx2xN5E1kReJY2liPs5TgNG+tzfo6zp0IiLl4tRm6KtxunB6ZPUQRXUaVJ+2lZrZ6lviAbtld
tFDRhm1kHO1+MO4MUdiHUa3HgLYaATSKTagXd/txWK4JOXrVCkrQkl7ykJueRS8sUOY29ytz3oXY
orf4vw921m8xTfvCjre4L7imF28qTWgJgk0O+HhoGmrpfGyRlf1Fsje5a1UNe2EVYpPSC6P9ZIJ8
F1lr0L6fd0bS7BqVGmI1RtszNQmFL9N8H64F69848lGHdaV4tHuwv+NJppXVOM+qWRtboh7ERxIP
DM9povxQz+vgC0VEtC1MgoQmZ9ytY6p9xuyjf5TWWt9TAaf7nujep6wMq71e1gAW42DeZ2uTsVaa
WN6Nso1PbZ/GNzFDdAOVou2rYBrV3ha1nqJFV6963JiuYvSnGVCCcFjTX9Twizqz9+kLfZbM9IZE
eYQkx7+wjNKtJ6fbKUtu7WdtcG4mOTkPRJD0fknyDk1/CtjRKvWAcAsbO3x9ugIV5HRUvlShTBAr
fUst7tNxzqgTyvYFNs/wC8JzPLoRyr7TtR0mJOWg6kkRwKL0pGH13cFysnsTD5Vpl9LVjPa20j42
KiQSmRgrIcBaLz9l8XQuJ1XsyMl6wBm7iRTMbEW7CzNx3ZZkBJaJr47S8GMbOc9F4ZA8l7y0CBtQ
MUzSjuwSih30YOf05G6wzZQnBiVpXMdttXfs7GibcUFgjrEeZcu4P8u0890VQjKWDPwFw9guVMtr
clMebRlJ/aDqwKD2Uo6ehqHYX3FJZVwcldyrJocregLZV11LK3xFFvadZCqlnw6skaRP7eIq1X2z
z9UtcWThpsqs8DjnOMbxCXc7hz54CFuRWqckYtK1PVv+ii1kz8yffJtYezHERwEItOoEQ9QiMT/U
tdWfVMPSPySpQTQO7X8nMAG81m1WFPCfWbjYg2enQFBrl9RPyuTkvq1zRFkl8GmxOvURr9/4QFTH
JTNVzGImP4+JCl/EoS+at3Im2qvIFqVwI1vF52SToEbXq4EF3SAx1fvUJseo0efM14BSblYN57q0
NPWrzusjjWPIes8C5n8eFLvZj7gEL/SLzE1I3BSmAMftorwOxmZWN3LsvUEPVda86lmXino/kqPC
CWd2lrsCkRoPtiLbTW/itZmYge1Ok8pbj9kHV9jkBJNCNJcLeHwqQPp9WcvpZDGS7TTq1U2UkFq9
ijeC02KgWOvgOA+zmoGX6BfG3+2LPvkyRcPbErVSp0lZUYhrzZy7poyaXSfaasO2qXgTk978VFPU
oFKK6XbIRiKfLCXZsXPRSTd3wuogtkd/Um0SzxxarHbFDWUVAbvtm5y0W6U0ad1Z685UxNEkl82l
1to04/hp0Kao9Zgelu0btoMHghqXWz2MPw26RshApTzpiWOeC/iuF8bW1Du+75YZZYvFAWKvN5zG
KFGUh9nRbyqdUSvprHpWVctToxE7lpraMwt4hG+pMZ90vRC+El/H8i3iqbAkESnSbuH54g01NHEP
mYd/6W1QO80d2ZpdxwJKywZQnaWQ3zKLkMI42RfZ7MVT8diQAeRm2O6SZqRpzga+KcIa9Erf5uXy
THvb4O5RsiCZQly2OQbUBw7Z3SY3kps0JM3REf1lanNKPUyml7jTP6SYajxrBh0QuUq9yBTBjSW0
gZiPZENnm2inRMuR8oRxO89M4rPzsfSzNg19s5QBCX8BM/Wq1jPFeDAyUBD1WE9Jwu1YPpAf4Q5j
eQidztkl3XArV2du/W4YHH+oRPEYNdX87JT9AfMwgw84cLhFPe9kk89bpp9oZZDTCd8neFQ3Cmmh
e0XE2i7rxHhp1jH6HGWi9bhDXzjyP+pwSdNFq10Moq8WOtcjJqhqLyh99zHKEDTbeAKW4UBNVAnc
omXvDC1POZsM56hAbhmGqn7SRUqQX7oMkZsoNiBFTS4eQA35HvVSnzQLxYxjQwh3v8oHQswSL1RX
+IvVmNEyNdnspUzpYChz4pfOzCieonQdgor5oNSI3LwwCSzNWhy3qfXkw2jOxi3XWaANy4kBo90J
Q/8KSamieu3JaLEDfrd77jpD2WucFINKVxef57S+1mvY7UjxeHDCFDytirdWldZbfL7Zk1KifDdm
exnw27ppoiZBRiwDXnIFYI59njoZOz2tf7xBeX2Pc3WEBxiDZbUM/FhKU+7XOqu9Zpo+mRX9/4VV
fC+TyLjJVS3DBhcrSMTgLo2LfEO1PM26fbKYL4oFmCBSyzdTfg58Y/TjkkEs3BSvFlIXZtdFu5Rw
a3dpFzXCz656uKNaOJsJ2co0LfpI2F126mwS10odF1HQJWkItxdeA9fCZU63ExbTz2Rq9ds+0xl6
RqVJQZUNfmGwIydkRKduS1C/wrqwEHzlmBZc4CiXI/kuyhOJWLh362t+XacI8UhrihHGmCUzwkOr
Ij2RFxsdrbAWu3ESKskBUcnVWRYgdPMirVtLlwlOy67Z8St6oGpJT76prj0lTm5CIMjmWxfXlI6h
0Z2mlgNTqegQO6UZnRVZ6dsmZuQZeS8UQEyhEABCAzvvWBfmSR17v6X408GgycNDpTg5rclE2EKL
DkyQ0h5Z+MvzIPV4O0ZNX2Kfa5ot3jta14SZEc8KUTIDaDY1W5+1eovRgBMT4YASVi1a/GJL1gvs
SlP2QRP2zUAEHWLmVF7SppKemI230FH1L6ouqtjXbD18DfOkeKQM+QTziOs7a++0oXvUnAxe8yp4
DRgkSYmucYda3XGeVS5XE+ELtmeErV7Ll9pMrJ1NSJ33P7k7lyY5mTRL/6HhMwccB7ZB3COvkVdp
g0kpCXDud4dfP098VTVTPWazaLPpRY/Vpq2qlSllEvjr7znnOYRLxG6qwQYkrAe3CebmJzFOJkJH
AJO6+AFrs9wZ+GhJFnRYRjcloGXMwM1DkLvQr1rjH4Z0eJuWFG+P031kNrEhCEHwxBxPPaxDkhHO
79vvEiQsrZ6xPx+wTss2GqWbbhqPi00Sv+LwCU9o3Iw7wIxVMF4MBAheeEafF8f/kzH+Qy0uh23O
Coo3ATa3aBpv2NkCslHUr7nZjoNd3ak1fhr99UnhpntOwaJF9lQ0+3pwvqo04GH0sIiZktm40zdE
GczuHzdwC3jj8HsIwu+oGgzPTEkS+hBsXWLJjYVEVOgT0Bb7yKnL1dg5Z0xNbxrT34Nj8/iB1ErO
owmsIxc7IoZd8TxkytoYhKm93w53NoN6HwwTrZxsJXeTs/anvK+sh2kxNw6NfE2prtpWeYm80hEc
TC01bUdyywtusBvCDaeL+2itrbizfbFugpjKJTvAZ2DnechmSOWXoTJX2+n4cHaVDw9uts+Yvl6I
cckLLosXwYdoI7z5hq0Nd+AhXutCPyxAUaJUQWoygHnszZrbvh8BNRZHVXXD3mHC4V3IalTuhnDi
nTzjXruEtTukbAE6ycM8gz22FS9kO+zAzYSW+lV7PltLmCgRgwWOs9DrTzWP4Xa5EYy5UufNnhC9
vh/SHnftuq7nZVDBfRAORZQ3+s1L1LPqdbgfARYqbV8KMu0B2+6D9HpGwcV9DpmLLhkAI6ovt1nZ
vS+j/vSmmkUrIJqorX24Bc9xP6XbFYHlpfPcMnKsuri6ou4ubV8Dv0hU+u7BbDviCmWkMX2NoB8A
DrL9bZs2cufDJDmUAzC28dmgNd0nc6rPms/aj9LEWRwVfsPYjQvA3owen4Ck8u7sES/yppUlCLxm
OCdknrfG7k624n26kR6AFVh5TIMZ08JG+wvHSVnEJNA9KVg5quqAezHk1xiUzrtoU8zV/kh8ODBF
9RMi+MDnB7DFHV9Un2EVvQ0BK6rCcvY177f7cCm0H1kQJb/WnMGM83B+zuZ1OiVNlWOFw63wSUGL
9cq9Hyo0j/K7qYopMuzY020+pv0j74W+5V8ti+9Y1aYvQrzc61gahBOiUJ5766XHF5qzvZXjuzf0
2eNkGT7GS84vAY1pTh9i+ATLZh0yxsyiccPXwlb9KTX1yuuqE9O3Wfje20jXJGw3nz1VlXh1xSZT
SmBctVM8Jl5gkXssDA5VLJCUmflBJptIOn72NhZzd0KOYoyrRifbc6OWR38ss3Wj6gZ6nw9LE+7X
PH1qv/pKS/AtwzJ8cS23MNln0OtE63wVDHwIbisLq42lWYn0owgukzNkvClq/rMF49LfL6pOGSmF
9wkOls8S/7Po7y1X9T/hpGVYX6kg3jfj5P3SDOR7gBUKr2Wi7lFZzcPYAWrwJjThTs3DvskK73lU
kjda6ic8KK3Pb29MlXu0rLhDf4JwBIg1vG26cFv37vSbnw4dygPVyr6tsyOO/KsyEhkSkCLWSYkP
W8e6uB8sZV7YrKV7QPHRuk6hoAatLYcNWCPyFwsco2Trwzvd+nbs/axBa047WYj23MMUf8MJbG8d
trJH3xTuYzFbeR/5cTAjRTtu5LaKqVLakYDdw8Fnsj2K4qGdeYCTNfhRpVD4Avg/Tzz4dL1Z4Xiq
ndp5FFP6I6QevtpkzLSknqdvsiFF3suk3eVyfQJpRQK0KUNC9OSUMaIukRrKddsun01G0Z9oN65T
P6AI1vz51n5LmnY7LXkHdS5Y30HQiK1J6m436nHeGmOTOyq6M9F+bh3+2h25BaZ7fJ/xdWwghfij
+m7iIV12ugpaLKpTd68Dll+GFdhV5jHRD03mn2a7FBc3lu3nuZqz/WAs8y0e7N9w9rEEhbF8JKFQ
vlNUzRsxBxzrh2H2PGIEPkxwt8uoI5UDDZ+DYaVmJQ4vGWtJbh251q/pKIar7yD47JwyS6aoJKBw
8cKFkSAJpL1NXM5kL/ejeHXNi1ly+5h543SQJuSCRi4dBRHibI106k7+7nZS+1w8SIDgP20wBGyI
wop3MzbdBlP7wjZlKm7CrL3VUPp3sA9fuZkxpQyyOwR1497rWVOUsxTZdsmd7+hv8YVBRN8VTJNR
2XKhWbJSXbyGV+2kdbFb0P7uC516H7617qAhz3uducuxHwb/mDdNd2lWO9vnYy+uKdFmyP2cg5uh
mQHMM7W0h6Ga45d0MqS4+FjyVREF/baSeLBD+4mfKmwPRRLi3o5HL0Jdq8wGhoCDjaKhlhwgsP9n
WaqyOKC+cAdEdTNnYMpZFMiVp4dd6muyyvHRHZsnK1m3Fdu8+xb87wm2kA7JL3j1JYHiLzatgPC3
RVYBMt/QAhWu9R+iIzY1XwpJxa/d8VeBdWA/WEV8dJOC71f3jXOwGRQuUphjUS7DjxxPtb2j32X2
N4lXZe/8fr8vTqsPhiUCRxe6+gYaHtc2E2+V7j8FJN9DKjN87dCsvG4jWdOx3EG/E1spXVAtqzuq
3ZwrJMXOni7LalQUtNX4bVjc5UkvnI9N6+vNAPcC13598Suv7zeN8jhs0MyZ/9slza4DGAjWxRp+
l5vwhh5q8YTWAEaD57eEbGUXXv5rtcrslYCA/wsFLrzzRvucjdrFpd3FQEADZ+4q3oV2QWzBqj8t
BNnH2m4xWlaVzVNhW1uRu833OSTas4FklTsbA0LwwlmQfrED5ebhtO5j4kBnwxgERy6oykeEfwNU
rQLx2hspLkkJVQJOLQKT5bXkOa1vMQiy7yGsIBWpehIXts+cNpP29FfMspJrAty1gzvb+ohnB1hd
PbYfLIa+Zen6czZhwTGuujfXgUqTtR6MDY7T7BPk3PoxLID0eQuJ5Thjg95w1+i5TWH8zgPuLNsk
zCY6OUz1HCzlGsVVoB6HsvR3TlPMR/hf0xqx6Rtog0pqSfE9rJ5kBhVHy/08AL8mzf33BSdnLbFf
/e4ZxcvedFlts8VIenMMLJzPa2oFB6s1zvOtMf7Ot1BeB95HV0weVrSy6d8ytJunwkvk0RmohU6H
yn1r8yHH64BrBbVHYOaw5HTox9t+3Mo7+0E7+Gx5c5cBghesprnLt3Xm3bJYCSdBVi0s2qeMHhF7
xuEIQudO0OcQDZWDyada4TlB/SJSqFoFD9Tv/2g7g0Jfx6QWeo2docuLdee49qvPbj/KhA0Eirfp
Dn23vLMK58mbqnV/o65uHG/1H2DZUKKSGfNzKiin2/TBHDxLxO+OK9IaPojMLq+ItOGLY0nzhICt
fjpBWl2sRaGrVWI66w64e5QkBViSOg1e5ILKCCnjs2cPfSsQ6dZ7NzP5HidNd+Aoxe8CFepxdMor
Frz8zjBzHTUgna2cg/e27FI6HNqMUTIw+q3Fr/M0g/Y2GzFK/W7aFY3AClbMTdlEc4C73sMCraIq
j6cbe8U/9Wl+SMs5PXsllHxYc8FZe95DE+f0drhlcKzqpTqxy5iiNWtKPhFmPsMsWZ9X3bHf7Hy/
pHtkEZ+kQnB9UFnxYSn3GnTxW2ia+SntyJT4Mbe4vOuTLWj+dFsa/ZyiE2a4oY4ywAfdh+FyWXTD
5rUw1UNeT11UdfnJZZx9JlfL3oBL1F24lADvuTy5940f1kf2fl9B37xKsVySBMEosLxz1ZaINiJI
xqOOjfhMYRARRCrDgydl+WaPPi+uAU36VOnqbNdqvLATwBMiPbPNbKd9L2BK3geE6Ddck+GydAjV
dFQo+OD4ldqoBZW2T9pEHx0rw9ZRg18vRQttLR9YAJhxccSmSdBlU8ILz7ymAQYjyZsdJ0e9R5MU
l9GZfjedza6nT4iyZzOrvQIp8oH3lkcExV3O+AmAk4WJeZ2GxDwEVTwfwzFYr1gsi92axaykQru6
tgwXV0oSnV2Sls23pZg0eN7RTBdTCujSoR38UcaN36c+h363cillIx23OZ98YknIS+FHlRXLtslq
tgZpbW3zysl3HpSqk57JM5ap7zzbmcoe3KpnUb6mkKDD2R2e2A2kX8WMnrzJmgq+IotI7A4YlhfV
y09yN4b32dqzNTTeZVwXOpCX3BT4tjL0BLz/X20cSuBvdvLFkpAZQt9WUW6rnzMu4SUXgdE7B8Pn
bRX0IWJcWRvqSYZva6ycd7Yb2Tf8aesjuw13l4SxRWlWqH+nlrSvi1EoB3FdvMY6TnfIAlzvwcFv
3LDxXzxhi0M6tl5EBU16nQjDJVEjx+I8pDr/A2Jxeqk4XhFmlvixDVvPwztBXqcctNxZ9Jqcx9J1
923PWcPluRJPRbHMONxbdY9kVeyCGuowj7zsH1EM5Es5cgG36iV/yWvrp+47uhY7zk8o42eqfHrk
HK97TFpj//AAFe+4OePAqOpBcCZmFsYgkoNDSy9Nn8MTYz0zXcFhMQA689htC+qL92vHIqPRZGgJ
ddt/HB3EFxw6lOY11kiCcYnH9EkxHMAjNPG5rPkczl1b3mD8tAzNPtsC1CjnOtd9fNVhWO8SjACv
VZy9cLoy83jcpTl+waGVvo+WluaXPi/Mm5rT9bjcwujSKkAwOIy1W2bk/CPUzcIy2orTz0nSx7MJ
Cz2zdmC/jX0dXciix2rvQxsgyngLTTSZOgQp6l0/lFTgcOWM4M9xXKH1vbANo4rA82/uvtvuvRFj
/wdzzUKsP/FeVjBrp2kZi4jfWw9bMQvPTU6kdkKij/ioEh6UUDOo7vHZKyzKoj2HtTmPJQp2aR6g
gzyXqz3gjCNZNoZxsMdNxsxJOu9QId289BMxjmTqPbJpNBdFPd0pHpfKJfizAlvnpCD1mKf8DJTs
3X1WKOCr0xw/dHrsHmXck32CK8cVHqPgJvdlwI/c/s0Lx7qf4qUfdmQuA+LeRcE76H/gFdP6xuEm
ozl7dlQE9W+vreOd8eLiWzEsCRIKluE3VaB/UPs6PU1VrKFM99MDqEiBE6nCDJtPFBWkUlf/6E77
f22X/29khJe3lMy/Wbpv/I3/gMe4/5H+6H706dCRU/kHcONG1fjnn/unD178FQpiEYJqDgqO/QBw
0T998HjaPdum8cMLMKPLWzTmX5QM5y/h8F8EgYvrHcM6f+hfTnjvL2X/nX1wHUch98r/nBXec/4P
C7rCnC99myOZLC5Bt1sA5d8s6GgJATYNy+z40DoTlgNGNTP1itqKVP5J8iEco6H0Q3fLcmXtiABP
xA7tRNiX0EJuY6rSwSav8HZ+lpirw4dpFLf/j6p3vriB24IVu3vymY1LBoXY4NXwE95BsaWL5tkj
ZP8BLiBLXsRCC8kzZvSih7mdMRkCFJgnMn4qhjLIDqUDEtoQVBpWBVZQ0QeXUdrgQDIOnRLGx+LG
3D1rdslP1ZDYf2xdswg1ygmjNh/DE8E/6+rkqeVwG12ncotJUXrNho1w/sj4PN+JtqB9zStw12IJ
nc/DILxg26FqxA8xoxJI2gAO7zXInU+Ny8o+kKQ046b1nRsQLYbdaOhqYAdkOqnv5OTyequCnui+
k5sEoMfUs9VmakgpBKERYt/BTcEK4XTs3udJZ/oRp6Fgx2+cN9Wyz7eEuyToxsFU4CtM5vwMoXmk
mCNhKt0oX0LdXsAs9xTsBfLZGex8iRohR+wzjFmDxlKC79V59Iu+vrO7IKUsIGm+9bb15UHuw+hn
8pooUVh6O0V1w8D9QwWYDovsg6+GMXxKuqcYTl598ooGat1KdROnlkjkNUflTliHQZyIVMESdIN1
zO1P1bJaZj/XgAIwn3NJvZcAm61z4tuNisS8wk7pvFDjz1jn8TCy58cp2xk8A16WkVcIZsd7qtiM
oGKCB8BcJQZqAWlUQMSoJ9QWbwglJMEFjxjmnTxtLrkpM8ofFOAK5pa5OjomGIYt7i+HA2zl3rEd
Jhcvfe+mWbxf8nwCobjUN5MdiGB7l/qNctCoGvPao95i6zKu/NmAR3wrEejxJ3XdL45E25x56ojb
izJe4Ll3w2AwKtU0I3ViJEDaDxx1K4ucSFjBVDJ+x+qscaP9bEK8pUcMpkG5S4lPT1s6DviNLV1S
n4H7NhMzVJcDC8jS5y7zn/wqV299PzKxD3FrnZLRTukGmX2x6Sl9+ABgYF8tNqHf13BRFySX44S5
st3kfGvnJe6g59MSnw3OK+RTX21sLKFoG6JZXrLKXX+VabneT7dWlYj2q9R+5NLi0+NR53AInQql
77iKpLwPNevYo5E1lg6hp/LbwKL/EVMjni2ERELXOL3wa6CHy1cu7rdWBaeE7BGgjtK1k7NwlkOV
etDUlgyL2WLhYBqBGeLNSkp5j6GUdrkZDb64CSnZd7qNcOzBleRph38Ch7WBUrqtW5wcMhDxu7VS
x7b6BFBKU1e/4I8CiAWJvU9iaT7CGzGj7dmTYS3tSmZiYmObJqSvKqlZtHERqC+VKKbXHk9RekvH
8y4ooBBnLDCeSIoTSpYhDVzjhH+wYndAeEbgNzy2opVvdpn3F3LXyXcvd9Jwtw4DBrfcZDe7v5tO
8QGu9bwfnST9aRqrXdBQAwftVNjoE/QavWbQUk8GGTUDAl3BdkkVSXX62RVRZS9lIditIbFrw85w
JMD/1U71FFIi5JrkkHLiNNsyJy7gFyzH5JTMDxQ8WqdYOjiRmGWL+QWNPf67q9DILRVzE26CsIR0
oxgHzxMtcePBLMQcsGKIBo8tQSW8ZDHPKhJb239MlAE+VpNTR6A5rO801PnVW6B7S6BC8EHZhHko
tqCOPZgiHIPBV2ktLgTb1T0AyuXxTD9IY4qfwwjhInBqvWNp1O1DYhDbtGd85RVeutvazviWMsHv
xbxErqgP3ZDX/q3QrIWfWb3WZnRlZBPV37Guja84vsQrgiA/UeXMmM0qSpfmXSG1fhZj7MOSFUBT
YP540oKh4egfaoIAfsSBMub30o3XmwPfsL623XJHHp/Gk3Xsxqc4wxNgB7zmEF6MjWESt0e9tT2Q
DsBoKzQTihnmt3BZmUc92oriTc9PPtutjVTPhWktjLRs+FpAQxRTbvGH8xdxiGhdSVtZHACrj+0q
ZcRtoxQrhHPK8KnBwy8zxXJJ5iHRh8xcblIiSyG5WqexspOTMXWTMX2D0b1dO7t4P7ReeAScnP1C
/Wg/Ktb3z9Y0YADBlLF+5YzhHbFiD6XX6BEHDN8CWtA0asjilczzY+8VIRc3gmM4j9Xq4A2BF/oU
V5g74LuWmmXbujAgdK77I2CboKMAy8DrgpfivhbNjMMnN6jh8hZT4m7qhpsJqeCBa252dYN0ep+X
GkrRQkB3LyxrvepSUDmcBGMPMCFcl9dpFUG3nXXOcURrCGK0UWPw25/lcizdxH6gbAmzQG3NXA7p
+JzZ7rAHrrfB5AewSkxKRmPRWCrlqJvwaQkUJgW2mSnCRxd+U97iPWMWurSuzgxAvvI6lmFGs9Y6
pNsYJBaaJ9z5GF/vUWcQc4LR/NQNUlPW8M4k3JG73z0WUQX8njX4GLLR/dM3UANTaeofubWC9K/b
KT8Jg82TdwzOiCzRL4vUI8TZEfIyyBcWXcbJrozi/tlufeEcJhfrXYm8ty0K3bH/ThIIOFRrbsY1
AeEh6RqLABmz9PNjENXtSnROJI66ysIq8+/gx5M7NeXYjWuuXlz2x5B3XMblv5ld7gn8pQ8adzRo
H9vBA5Em88VK54Q6NPSdHXuVxSdQmPkPU2t1X1Mhk1/sI9Nvab+8WjYHK90eXNSxdmG9ygyArzJV
iLvAAW5mN95FuJDc1ZlOshrUz9YiiHjA1uvQtqT1yZaLd2AHe1uTrShLeWa/FopFq2enff3g6nb6
Q2CzmpkNcmgYakhxlaZ6Jo3mOQTLHLRYlHt7ru1jzf4E4ksS/pqpf57eqXCosoOq7fpX67mie55j
h/uoo20/PCNrJsNdFtr8GBN6tJATprj5xRIcdkwoKWo4xQIXO6dz7gDdtusyPFcVN/5WgHHfZrlV
vuDMrN1TbdhiX+kIugLHzeuz17XTbYMwQ67x3Yo2vzW9t0GUoncsPTdK0w2HLuXIGoqhbCJfIiZG
ThvzMWEQp1kRb9epDJLgXGk8azF7lEchZTpji55JYBgCVhRvFHBgCi6rOTPIr0665s2r/HQ3+rOz
BQ7jMEXXwbtlVTGS1yKC4RTA9a5+LBWdYwdetOHrginx1zi1bMIT2eEFCfv2fTSQlbS7IL67+VLc
9Q5gnIj6TPuDfZP9rpjVHvrBSw5hMSXUeZedKg9eqSRgXActwCxN00Zu3sgvDshiy5EV/A0kcz+G
uP/hdG0MomEqCDsk0DDBYLXtB2ZJfAp2SDAjopeHgcPKluq9TUYsWOgmDbMbDluAAt7LjLXLC3iS
W+dznTFjhC2NEV/c2hGmLcnbGHeUYSb/YRtiP+OSvujcwfjlgHTYDIbk+LklSK6OYrWn9S63i3zZ
lwU5voesJttJxNBCfLDkSLbOaXqcXvxfJUIhZ0kaCbsKkn3Wjs2+9/FVsrYKhld6sSovypzEeckQ
V7OtIznKU5DZV3KbyZVnf8VUjPuS/TvH/LZax/EpQwqO2Nc2F1GwCnDIBLEPkL9JKjs9+P+Ojogu
0N6p1z1pFfjQbFpDpyH2UDZ0PaGkCFq23HYkRGC2Vgl7xowjgU+VmrMoWc8ARqDKoKdVapwzICMs
SuOIoFoXbtyUXW5rwuE6W/F6SBwn+2z42Z6qynRYhwjUUGZiIU/AZpBZthMqZQEvJ8v6lg6gK87a
amh5YxPsv80uxvttpaWNnbCb6i+yR74h9TSlD4m8Xc5qH8/9bZdrXjKyAQVenFDzK/TWb3gJ5+8O
fwvcuHMqbGoPS7pgpNv0B+l25nvrJKy5AIzJR+yg4pUBlzesJqWzBz+dnmO3Nr/LuF32avGLU2fH
a4atrZb3XBqCmKbJxvmpkQUxwnOd2TJkrH5E6daImTI35vtti4cihCvV4bdI5qIAtItoRjBu4yM7
YHisBE1AM7XkP/n4qju2WoA6Ultwuk/Y6MFJpkWzndJiP4uWqCVNIeWjIxiGdnHL+v/chylV7NyI
BQR4csfcqrjeqIhLLpFLiUrpkWmGqDRAkeSyITDRsamijo/st1reuri35dEaXLzWGbWLv6a2805T
OtrfSlMF2x61DaGS1/zquIg/3qJ41+RDvesqNuylFyR6g6GAduzFjMhUJa7575Lc3GPiT95B2V36
3mUBAEiqz9J8jxSvntduqPszsaxYbPvwBi+ME3ybQWlCjQKeQKuhxY+5huoS8xg0gFqjZMjCXxkx
/xe3T97wR3W3zS1ZwbrCQ1A2q0+OJRMHKhaD89Ljz4XkW53oS2ueqI8Q26ZTiiLdhR3XbsnG/trF
s71xu9Gn0K/K+i89pIQ4QHwO3dEfaObhyg78cFinR9NpiGQo0H4O0o6cEf7kRfyQwyy2Bb+HP3QU
rdcp5YBnGlV3Es/Cs24SWmLSeL6vp/WS+KE30GMCDTZqy+mYS/XVjww8ucIwgKt0vswptyRyoYde
F0y8k3I/oAr+4nEz/IwzbzOq7FdBE+Gpj91yW2SoDqVmQmb7/SCRts6l1/MXmurmifYFDtChS74z
U5Rk6Ygivsj8h3A8b5fxHDHoV+42Q07f2bL2Tnklmpe4GcSBJnXgvmEKELR3D3ZW+b8IA9nY4jtJ
2XOOkhewEyeRr7eNaaq9LjsX17K9XAiVi590eVQXNTnzj7FrMG+h7JQUEJIlPpKsp3eSl+T8tY5q
xPSa223Ux15A9B6O4aZ1+LdH02y1P7ycDMluVa13t4xud4Q9bu9y5foHrZv52MQL1/2pyZ/oiFse
lEeWY+PNBWW2ZmIqDOZh/b1o9tYsjKh89Qinvy6eUneLgwZI1ajkTlwE0dzkYuswyf8uyJgcuqH9
+zD5JJU34v2qvfG+V7xEB0jweAQhtcQHltjJcbCXQ1vArqoGCI+227D8yFUzvDHutiwoFlJ95u87
Bwnybdt7+Z/ATcOT19XrdV70+s0uEnVF7xqRz1LyPSS+WSBXYOqjzON1yebmAEHxNIPBO9Dyoh7H
XNr8g/DVERCmeOHgULS8d8c6jhJo/XdTwf109GX7ST/8hWJcjKmY6L0r7WXDEfnOPNNlxuJIpGUQ
5VX+2RYuUpooyfOMXfcwIw3vYGs6+8a7rc/6eYvKQpfGuHhPRE3UjkKa7NwIZ9O6y3h0jf8QMOZF
svXlZUHZZ5AK163juQjSxJa5I0/ZHUqctZs4jIEmCMY7lZR3vKj0jo9M8FFZLan5BEUlqgjAbxw7
eUUSCKdDJibzqpTp9zPWNJ4Pmg0fg8QnqJpoRS17Yc073riAUN2q2C9D0p5XamKci7F1M+zYpoFw
TPtvlg7Eq6faAQtiu/Zv+H+Y9pLcJZasxcEvc8FvFYdfA/QlIvg0EH0tdHJuzcwYMpMzmuDEMOdg
HvuJL+wHWYUsMrXNvmBYy980jcUH3g/1tV3nmXEoth5QbYOdjOcPML+Q0+yy2iZF2tQHj3IPTMrm
mtaF/9B4hJU2A9eBAbgb15tNPHvZReRddfJFF/wWg/tEfdoc9ThWGcji5QnPh9oZa1giG8TIzSLN
/sgC6Ykd4KTMym5qqVf1rpzS++bR1QsPlJMkGbML7svmgPRJpmphsH2Ijbf8XLPCfUO7F39mwLHc
B0LvacSSp5W3Dg+NteTzfTo1KTO1lR7LFaqmZ98yhi6yPKP38gc3KYGS3nOOhBraXSdKyNPgXjdy
XKr9FJBR2yxLnzJJrV7iMA77KJsgPtc5Cri0PNMvQgmOV9kcev81OO3///g6Soawk/7vgJ3L7+5H
8R8UBfsff+QfioLv/+Ui1oahLYIgUL79v7jbvvwLxSAIhLI9h8zXDaDzL7KO85cvAi49ZByAAIQe
JJp/KgrBX45E5eTrOXwt31HqP6MoOOqGZfvfEC6YNnCZPNsTjhAwbVx140T9m6BAXbE157md79wY
CYsM8bwZ4SNkEbe98a7SiMaxGJ2Lctf6KEoAa1wucrALZdjcp7k1fMhZCtLWQao/VQMTMBKiqk94
B9l3kxYLfDoohgrdeAoeaRdRwWlSauaFhh72JVdvxPDph915FIq5b6yzkTg9ghsRlTVV+W5g4UJR
NBx5AkTIMFua6mkebzyaNIOJ9THZLN3Nm6EgyLdZ8K1UcARz/03QxJoTn0vNnbeK+LL2bTeeg1So
D14wzkfsw+Qkgzg/glTlczmtPR0rlUjOUC2wf2Q5C69NUIwhSni+PvTsqIHY8tIaNsyWcjpzT07F
bu5iVuWKVpwXQebE22OezootZS44GsGyMJHNkMkrtmMQYx9Tn06MnZfCyYtgQRDY6Nu5mB8V+NT+
zlES54wTS1IvTZ2D6Uu1bXj1ocKIKNNl86fFd3DnjFbW70S2dHf1ooV3rPFyykhxuBJ6xB/7Mq9O
6WLNpI16z8K7GCLQo0RF4eZQdUfLT/6VWxRYnxbQ/KTg+5xvQOAj+BRZrx9zmpqO/Gbkqwj0dASA
vDzE9RI+OfNUUVkT6s7s+p5Yr+O6+PhXjXH5wMo9PzcdbTTcSDrzLprcf85bob6EgWyzY2TxmDXh
eSu0qYANw6yJpo5eT5RxzMaPAH/BtJ8L2QfUgLEeIQfktxddjtWLJMI5bDQ90bCQBxumoTSYLCNi
4IaQLN+BoKCYyt04ui5bK1kfPSpSn/uSmOdmsrX6skWKds2SZvHxVzrzgy6m9BImbrFlU69+yyrF
5xavHlH9eAoNP4J4DU/crjTIIGLV8ZbbPHG4ylbfW390x03JVjiP5jUsTaRK2UhuGg6h8oWThvf1
iJ93iyOXDcU4jTRrVUnKSgh/77kPVgKAsgmwK7VBw3gqmm78o+yV7S9fooqxODVuGJWI4RMhlhsq
BXyX3pOojJ/B5iQbp+Fc2eeGf9hmTsPO3ix0CDIKOEN313JN+XXDG4lTUFLxUsUengNV6Jot1ixT
knZ8ossXTKVcVPwxYNQjoeBY7Jdlp98bLFKFP1LBzO3fx1qjiD4Kp+V2CY+2wOijj4KA/nvlzOLA
zLPu/Eyud7SF0VCWUtuFxyxmrZrPWNzZCg9wKTCjvXczMe6pd4+2dwP9hu7Q6LPEVvqSpHo3FP0y
QSTA6nIqcWYQStHevRhv6ekBz8bMN3BT9IrYypqfxO7XO2eypzDC4l+OZ7Am+fLuyaC1IF0uk0g2
LraSfI/UWXS0NE0amHGp8+xnDGrhOo+V+pkXc9ts2UBBuZ+XolofMxrrmQ34yIz70Gu4R88B0CV2
puHgBv+TuzPbjRxJs/Sr1NVcDRNczLhggLlw0he5u1xbaIsbQqGF+2rcn34+KrOzsgrTDRQw05ge
oJAoIEJyhbto9i/nfOeKuNV+QeHYz8u1Bun8CQk4vU1jdaip+0nMI0lNsdk79IYMndxNqGL0ARHp
c/Dam+YNWu2pRLa8ZUMZYIdr2L9Yll/LXviOlPxrN/9d1t6s93WPjrmY6ltlDt0e41q2+76x/k+r
Af7/u9wZK3G1/vuX+/GtKPq//be3ov4ffzuhHSiS9q/aAeP3r//jpoeUt6ZreI5lCCFZwvypHbCo
ARC8gMpjFiYQCvx501vyN8PyJPg8yyH95Tt844+b3jJ/Mx0bk5YwBPMgW/xLCRvC/kfcpgbXj9se
48M/3fDsBSKjZ8IE3adFVqKtPXuM/Qq5WTJcapHZ1XalYhC7pyEH2vRKZFtsgs1pnrBY0qs3uzl2
5IXAqjjQZxzWOUq1Q75SOrQuBNNSsxrE54tXNAiVjn03tNSGYLP5qoCyRwsUz88IY9XeYXu+VY0e
H6gimhsMLdlzxPW5TVmw7Auc7v7Y5xkHMu6tcmG7ZiVr/mDJcq1IBhyNgAneSPGwT06CVyMIWR8M
ATNfGbi4ufcZ9gJCB9HuVfUIfWCMrPShasrOwuFhuOelj9jnxOTYftICKYxp2mD+6Eqtuu/mJplP
TTMQtwGG4Fybk7YL3Srcz7H4EOlCdodrox7Qyi7dsG6lm8BtKPZVbIfkMOCXWxZhnpp0qANEuMur
lkEGn5aOYy4ED5U58QwmEOrrSUXMH0ByUWRtoXahtTDsAp9Kiw4gBnSxrk7Ck0yd+pdA+kCyR60F
Lrkgfto1HJ1Kbz+rtMyeHTnXz1ECI0oXtfni0Ps42H3i8pjQCuwXdkUdUv2kfeeqCo8Wd5y5x8SW
6fRJSl6NsEUqNgbwDTStcKbrhRxivq7Pva/ZWKDSTwuTiiTX2hMKgvpNq5MMca3gtCVvtePwYtAS
LinfJamx4/oMGggeRLR9KBfLpDu1jWDJMUvDPSLAzzZRg2KJNO9tsy+oZfgUArO16ifYqfRtrgeh
/VFZo4tfYTCbBViaAmGS60XBejdzo5vCdqwrtqLxrTQLky0zVRgfN0xn3ra2YjjUx/NtSEbLRrVY
CATf0rxt+RHfergGxlZqHUPRGRMtDvSO24091S5cnNwEGlS0V7HQmD3HRvg11zY/E0mvMt8OBppw
0GP4z7bh2Jj3jq3CN4/lpLuRocZ/JsPcktYh0yD2Zs/eWQ32wTDpVKCDSLurIHEjNSGfGE/RwgTF
NJfkPhF59CWZIfsTG4TtbCZgP2RllCDyUJv0m3pcSAMH8tYjjnU1/QNtx/y2oAl9JHnblUGlGdaX
7o0ujzRGJ5wrS6HWnbarr7HaBKdu6gFd3HUxlC6z1oyKg7LWrCqkQ1IcPMnYljG344rbOIG+B1oO
BfCWBZ0dUysR0rzNgdc9WImTjRvMiygPO6lKc5sajbuSBnr9k0xLYmBR7GNhKha0M01UOmjE9VAe
SaiNkOjknnefT9O7qQ+CqrOS76Jc8oOON/R+imR9nnpkcQu4rVveFI/tsVtPT0RSR2/CAlVb2MiL
65nQ4tZkvA04k2wBhzLuIa9Vwb91ifERFePA58QoG2JVuoxV8Nek6LFdyKiPteiBgX0fmAOwttas
DG7gTuueWJrHv5IlHX9FIUYVm83eZamjkQBWpR27WRa3uGSZQkatRqckjFn8/D1qunMsVh3Foldn
EiKoFYoKH3uYIv2OdQwQJJn4o/B+MjCqt3kJWQCBMalGPbbzBOHpGZeF/OmKiCVH2ZOBCjaMkXAX
sjeoHc6eBMTc4BtsMUDhM4JkHWURVG4lNXAKaChJ0DlmeCblfDrMNrybuC10mE21G57ld9J1q6GX
2jSto6DM5Z3+JmvhPdpWz7pOKe+egKW7uSQOIJqIUB6EW+5QEc1Q62Vf/7Dl4J2KOocuKETyXpmx
OPZymbc6ZdXeElMOpoIKXxKuzX6tyg5mosmARNtxK5tmDHjU2221nuklRKCg6QRNExSR1zxSpA8k
uBH3cqTaZcOVXDTOveuC3vnGU6R1xDIcAvyV6l5yzt820QA5Cn7xxGo8a/boWMWt3Yvsh6G0+NNw
SnwaSI2Gbe+a3mlBvX7QGZsdYGiMMPci7Vh7sTwAeSorP5/UBPNhLNLrSBZjtoUmuPyKNLb2aVYk
9wWx71fj1N1h1wEFwmm57v5Tz3zl3vZOpC5ge5AM9u8QZagNqDL2BY2nF2igSZNFPdpNT3Ag4i8a
0uge6XH4w6wnNMB0Yt4vqLapr6kWXEBktm8jDJLnPknbYNIXgGsJbEjCXBdn45Uk0JZoyIDlg5K7
KybLOeftYgOqWcbz0GqCtKbYQROVGuER0nuFeiUarzwzQWQTI+zrtDXeXRpdt3NQ9N1Lh6SkhFQt
5rT132PKnWF5QwZEiG6XLQwq0SBJFpDTdI6hgfrRHAKw0l1xXtxieDVVREsi6NUWbrH94BVIv4gV
J2MwCQn3IG+rPDa4dS4LE5KaI7AxP62hKi+xy/GbKfQGPjvcZdP0rnoPF6byxlKau2FstOPiLv1n
4XIkA9cYHsBsYlB2hCTxwGEhi6Y/ezMTDzdT6ZnRTZTFOrnpkM92qL8tf+WSXPW9IAyWtN7+RPdm
nIZCHwP64H4PBCjZ43HjpEN6kVwlRpSdqyacSGaP7T0+5vSobLfh3eyaR/bX0I64TvDjznBLpkrd
j7JddijGnB8q9cChDaN1WFC7BC6hbyfQKxd2Z+WVGjT8f4uiVXZS2zl73Ku//nPL+LVf+DMn7/+N
zDvKEeM/DL07vbUlSt/snyZw31/1R13u/ialabuwzj3Tcs2/aHrFb7onJNYLdL2gpddB379N4Nzf
hDQQAguXb+U4Fn/0b5pe4zfpUGd6/Ing/9juvzKBY/z3D/M3kNauA7jAQlRsMw5c//wv8zf8KVrt
QHfi3GRkUM43dph9GRy9A8tBsofuhir7ajCC/z7P5RP83yfu4S7951e2UZAYtB66DQnL/E7k+8sr
R7G0FnvJe6Z+XvsJ9Vbf8JTwGI1yQLtkwhJNNwlyZ0rnBBXQpGrOeMYlyyUxVP0lcJJOHNawN1lC
ue5L5c4VKEthsmRIZlEEUYRkdKOr2eU+b/BK9Fh1d5YMTT/GQLhf7ME5alGHZlV5YDt4pGpkfRHE
Ibu9GSPIjows31MdOxJV1i71UMh02gpTaEqgVmsZEgGq0Uz9xAIJxwVbxnuLXd6wmVhhXQxKo9uc
pLWLwyUCCGZKx4vlpkTQubwevBG1nyy7uJtltWV4cE6tVF1nNW8FwF8DA95Ev8MgMOGLR+4Tv0A0
9A5kSTx2jpqUr9D53YDzb8+yBGvJ5RxuTEBwxaZeR0xsb1JAC2n0lIyGd88dOgF4ZY1AePPeGM3+
jr5fBCAq45dOj6zIh6Sm7QAZWJVvDZp7M2qq+won0yMBDSAoZ2/aeR/YW5W5nUfkeFHr6Y/cFMwu
I7ifdhDWVnyvOMLyTQmRiwBtM0KqBI5q3Lu6G59MS2dTKgkzRMPW+pYGVmNKCvjByZLEW+St8pYc
FMdH2aefE4W2pa+n8naKAD3hN2Sau1kapzvaEHBQL8HW3Fein85gqrpdrOHXTlsYC4jClxNwnvqx
AXXb+02tNPzhlqyeaK2o+iEka+zxR1AIvYsu4DYyLTaSMZFzUNFn4oSCAWcYULTaY+RKUtjB1nUU
AFWsL09FbrLfASkcdR2qI+Q8oHDd+Ya/h97MHEvjU2qORJwNq2g7oD++Ra+p8JcPWgTSrbVT6EZa
d4WsDVWRW1bpQBiazt2lmMTsyd+Y8COCvXmSM1Cg7ZKC8QlsfBqbcOpcEjhaxZ69cur5KiwUYEF0
qvV138fdz6Y0+UVi8PkS6VX8GXZO/c47k9wrmBHUrJKtYjMjOtyCOYhfSLFGApYQYobFp7TEBvH/
cEuHxKssZmwckMrD92WjJ34SaaiO9pLakx+KIQ+pBdK4DGLLgDWEDn0H/Gt+MKsFkK7hov4dEZIt
QVo0tJmLN0zvDebQCDvoWN8NoeH9BMcTP7cUkqza3La69vI8MwIXq/fTwIoWO3tvTFvkNtNbUXXq
ETUlrZJZtvZbk1ClEkynZYFhtLZkaZsyRiaxx/jUVGI8xF1dPA0Shzt2Nuel7HMEoDFEeS0wRzQj
lMjIGYUxUBZTnBUPld2IrZp7G8VhE9UFAFU7U4GiTMWWQ8GQ8r6zTA/siUInimE+bWPddPdGPLA/
iGFsbIbO1Q+Evg/DPs7i9r4dB2LAvEjPTwsbOmNTsdEccPEUmGcLQAQ3cz0rQhkzN3tC6Mx4UNch
Nfl26aCZ0dtSD2xpFYel0SjwDA22Bieh6SDzTFZBa1+goKihit5qRR7fmp0DEQ5FMoi1BX7fXVK5
1hMfqaRPtbFg2m5tb0Nhtw8RRAZGwIIi2ZLFXY6udrsgb4IySALVi6W4TTjM9BmohbB/cpjzibp1
iWOMthh1k2Cy6/mQw1JqrqlG/aKhAlk2POS4mruJn1QDFoKzlUqen3DtYYeSY2EIQ1kFSCGHy9jZ
41MOWQm7lsjTFT1Ne3TAKWO+0r4O8Hp7Nreo+jRAhSjX0muq3/5WQ9L86M6TRNhPeqhLX1yKl7FY
6o8mWtAFFnHPkZ6Q0dX4ndmCAqjzmGDWyG3n6MoINdilpPpkFwBMenxbUazGW2F71rEa7Cjeq9zq
vOOsQWRlkm7wdIG7SOxANKn2NmJACP05ClvFnrwMd6pUTL5H5YidwIyYB2O9RNUGtIAmfH5xoBk3
Fb6OjYBBh19l1L2gYachCV+Uir+ClQd7d+v2bNvhm7qduxw9xjl+bbrhNb9J7U9n0Ixr3M7OU4+Z
9jgUQ3Zi+sFBrCt75evP3KBZ2c/PBQu+3o/cZLyILnPLbYH0+hEPNwuIOYubhsgn4XwwircfJpJh
oP3qcIbHWofC7PRO+zX3A6YCxJexn5Rptx1o8i9uMRJvi5bVt4ihfC6rqD1GmVsBxYVRguN1zVCz
y+VUmAgdNadXJ4dHb2vxk78tXXrpxxjEvKMj2l4ov+h0ZX4RYa/GbY/xMvYz+vzEN2vp6IcwmlkW
Zb0bvunR7DQIaLpsPlc25jfkf0P8rFuTzgft5qvQeJrw69UQm3Dkx/OLReDqD47f+nZqTXsf6dP8
CkTcONtmBMWXGUT+yi7IIy8VtCCCBB17CoQGVEi+2RvsGRQEKR5DTW9/slnrboWjDazbSUDVHSU/
kURqvhsmC2Sf3nr3bC0UfqfbMO6qfG+KdZbiViBCEb527ceSDBHDlUY5EpC1JhH9Ktu8S0TTP5Af
2F8hQc/yM9t351Uy9vhClgfL3ogb9OAoEl3euDReUHGh+DTBDk9iaPwqCt2X2ajtN26X5M422Dhy
bNWFgegIezjQ1a5m5LRpFGmrOqqbhuUYWLmrHIQCrZ8FPVW1vQwmK1c8BEzIJqVBCza98FIN1fOw
msbLNmTLlRqVTyTkHO8oDJCz953mAGuIhf1gLxYwtgZ5FlnFoUh3dTxpWA54J4xv40tfaxgNCtN9
b8zOOpWx7SIzdwxwV2FFs9tomn3uhfEKT655zFYzDVJbLz84bHTJgjNV0mwMhlZsGHun+0KZkzb0
bM7Q4xKQ7j1brSjc9d+mHRcKlwpiJG08nRauis04WqynXJLaSGdzU5TKqLa16gT0RTyP4ETQhzH2
ohDKcQqxVDYOLdaucuMuRLduuOCNrzYLw4pzOo9ekraEhqD1YrohQAUPkj4XA9gg8NsbJ8ZDd8Zg
NB+TJtF+hUnbr1Q0JLabrHV1tixZ9xMiANASfPvazwh0m+1bak7fptHiFPjdombAMnko3VqIQzTU
1CbCWMbHMRt1LuNv59QcWkil+BXAUQV0ZY6uZ0u37vVvzxUma/xXyZI3LLatsrnqbNP5KEKi3ycR
+q6X5QHqec+3VuOWJHbjeZzIRpMaTv0NY010qYQIbwZ9Db/EV4LOlPQOGBy4webVFqZjb+8IOBwF
O7vUW9xN1Llkb5BTs8FvR5bpUvNiq6GsX61lkb16+a2BRYCcgyKZykOEcYYk0hQ3Wlpr2nYsSlCy
qs3hvISCK3cIb1G7rfA/jOzkSxbv9K7GM7+J1hcoxnSLPAlaUEt68a2DAuqcxtPIfCDNnfvFmBNG
3J0XP2izUVyb/cj7x0PxBEWD4yq3IM/tXaBpz6Fw1Q/17a9LFjnNLE0jBXl8rvsvj2rwXcQDa0ts
DGuyLsBT5Rd0N1+WS74imN4Yj149s0qtlCmuR9z4aAKZ3OAA4LdwkyVjGQdGP49fiYaRt14a5OIL
h8qmLkNmgdq3YRB8N+vZkIW5ecDLzkp5zqb5CMUIrv633RDdGYowYrOqjRSzFXONlU1+KajmiwBH
xKCjT8tbLNh28oCQWruv5iXaErhBMHWBvg9eYutsR9Md/cpLLTzDTT/qm7y0tWOWh+wuJiA4DHBj
2/tRhcPCFgQkLbQQK1uhei2ifww4DbaHaLFjIoHqhgpJY+X4ODqiejRAhkCC0jN722c1jMNlgg/X
qdJTfiRV/jzDuVPHAhvaJ34k3J3Nt9Oz1H7fRLAFJbbHrJ703sp/jEp3P0xSug/jPE/1VZ/wjBJb
QZsXWW36looq0pkU1vJmxE9tbCytzL2N+e05jVb7qVd6M16JEjlMgKUa8Rw7L3PiGq6au9YFCeQD
P/ew6icLBXav0eawf9Zv2fA0MNrcFlP33Ar9h7OKr4nz/mRuPDmrii/G0wDX3d4MBXPig7QjzFLt
KC9VN1BCxt3ouexCXP0IwI5fuJAn/6pL4WcqK6oB12Ri5HOUtHk4xAmPxel7xaIXGqBWpR+2w6pl
gyzWONElyzs7LU9YjfTNyLS7YIB/meLskSVHEUATsmF4Ml5UAk5GpZFQwkAPthVRKjwANwl08i3q
X/wFORlAlUP50eIwZVLpdNmWRTKNBX6dIO7ZAE3DqIMeb5N9yRrhbiQ18baYW0ByBlUj0++5DXmZ
WeTnCkMMSjR6EWde3R1Tat+wdFS7ssoPPRcbEK9xG6lsvC3tVn/SywIhO4wwLyha9VyGA6bhBI/K
wOpy69XpvJOohqHUTyMyxN7GyDF5V6ETQokfazPCc4soJ/BYGp4MeBGbCoEycO02X0d6mIeWoR0h
VoUeKfcc3p/Ej+4bV1df9Rxn8LuGbtMNpfdKHoF7dJjav5iNHYFBpz0jpYfmLAc/1Qm8yZua6aTc
8h0z7XZBvOoA+oWByZUMRaQAOXfAqIEZYfRm44dVwBQHeddvWALUB8eOh8faabKfIegvgm71WftC
hVGqn1ZGG7S6flAplKGrL/s2zUbErMKcgu5bM5H0df6hGQgpZgPz12b41lek31oLvI3oLsBZo1hN
Xe8Oyzi6DGOVaPRyxM0Ufys3+oQ4c9rMVdGRrXdm/a3zQOnKQeUiFWXfsUpB6u9jp1sFIt23VmT6
1o1M3xqS4VtPIr+1JdCwy8k3K5a0PuNM9CfWKkXpVlEKHE70KcL0MtDEyvWuvG8FS9GMKvKtb2XL
aOX2p7vKXZJV+KJGNV7Y8yC717+VMf0qkmm/9TLQ05I7xgLVoVvlNOJbWRN9q2xC1x4J8VsirMu1
qtQGYwC2IebINOdrOJGJ3dvUz6iX6wObJ6qnzo1bJrjaBCdvxpux/88dff518vk//wtRD0zEvv+h
guG2L9M35sh/Bx788SV/ihYwZqIvMC3GgXABAQr8ATywkCeib0C0iHDAZlD653AUZQIoBPQKDolp
0jb/nvxner9JYSJ1pFl1bNvWzX9pNur+szoRuYKNOJI+U0j+JxBO/HU6GkURUfH0dvu+H9ShNbL+
rUxsrFGAa2+tXFOnsQGanOMwOgHcRVtblNFVO7npCdGg4dO1uk9uOcsPr9VLv6F9AIOto66CvXzS
sjLeLkIDiYQkHQNaQoE0LW8skm4rQkmoWueNPRUnTePG5SKhWa3IW4H9drFmcoOHJXkyK/ERCuBQ
gyyOmQI4R8AJmbOWnk27pu4dHxN0sk1Ik3nMJehp1ExxfrQWUV7X2bzclKQpvIPbo81xbfvXnJjx
gdcbb9D+aDtTaBFnoC2iJ9am0m812lGBqgwTd5j9lEWPcm3hVSFuUvhmSV5/DLqFuw/y1bNgEXyl
lWtsnY04oymLO/b3GCDnGDi3MRdXY+tON73musgYJE4xsk5oWzLcu7cxu9oDeO7yVEVjz7xVSRRu
pYlXsUtNYqLpNtsJ31BqRRcVc4+a4VDtkRHcmqIcHjtPjz6bPGlfEnsUoOjpJCvd9TBYNWDKWrbd
BUHxD0NamKyo5qfUGRriZJgacTjLKyT5/akrwuQ8xG75NDKMRc2u42ZTERmiEbnZKAHf0G0llzh2
MeM1iWFQjI/O8CC8tLg4NaM3EbogazJ4kL3dvNhMaH1Kpfodru/XnM7uEjje9Bwz78hieeyRpGyT
2jDuBkQS24Q+5TZ1Ru9F2FN9phgVJwuzBhulJf8QmQ5TLGMmAZ4sBiJTWtoFC76rNrrw5Hst+2aP
qQG7yURGHwOE8VjoIryMedkcqAJAAxmugbNXM6+b2fkM25Nhvlgpr7xqgB+UVlTHXCoVLGHpoLtI
+3rLsRutmXN1uWz4EAoCFKvs4sUL0bLaMj+agFdvSrwIbGqr5pnWer7kM1E7kT7oeDcaOHMN+ZFM
BMagB/vaoj4xveuCuryCqV+rgx4T7t4D7UHuan/1o3AvHbfXtkH7t7O7BnA9Xv+rjuHUxfacRwyn
TeBlstsliQN7Z26dH15GLhbsJXT+sdZsbEWT4Es6dDSpkbFNW+Q5zTLPuwVAlz/NPSyCGTiB3Vf6
FrJizwpxbq4Lu5q54Xtnn6d6cVUs+NsxmRSkfSDpWerr0A0FDD3iRjp7LYDq/UKBUjNChmYPMmim
OzKrXzKe9waQjFMkJ4yKvZ7d1bCmdjWb130GqV/gY9vhtrL3kNzLk2vq7muWEKXEWKIcQGk1471d
1q/CLn6VFPRyUWf0se8pXcntEmbuodZasSPiIeTwWb9j0boWaUYjSl7sKkrcu+wHmDe2XdCgLHiA
9kfu95iRapdgPmcG/8Fw/EIVPG3tDgCl0dt0D3bdP8erukVHhbxvM1u/AQffgUgujZNOOOMRl5HY
9l3tfHbkSuxoZa3rtrd4mHTH2IbsJx4sx+RdnTDSidmbfIXBAPRKhYtyyWHtGTP03XSpp+cIoNyV
5aRoPjKldhi2quMEOcZ3soEkoyqdr1gGU/YYStlXaomWfUhU8a0bLXIXOQi/wpXfSoQRsKSWTxtw
L5ElC5sCQ4u7feY12CZCp9rUc0+2UA+IZ8OS6VedMmfhb1czNA3choXe4ZYkc+aZxMnFZw9Wnztv
HI56M0GPz0f3AAak/DXKssP4ZQKj9TL9noccLXey5igi6YQRNTFnfrSTyjGh9BKakZVTP2xC1K8X
LDUUvHHiWrt0SOm7QopQct8erbEhLYSELw0N6IY34pCLygm4MOTLUGp3DMsuM/7AMERMNiSl3w4z
0yTW2+lLGxWASnM39dOZNXtVpW4QtrkHT8LEOWa1scJv2fP8oyfxmZEne9iLSEQc0pvgISLiQVtF
UU4/75z7lEkyM2I2Q6C20oViiwj0h3IZppOsuLuxe4juAbQ3GbL9+JEBJTyMFWC9EERLXCZ3KaJ/
wtjguyyrLS1Ruth11bjsEYTVe0tygkuEMihm8Bv1xTJ8elF3Fw/OY4oVCzgA34CJSz2/1CnHxiYK
i1QeBptJm1qYYuiIqRQJsftOV6i1mG/9hMoh73U7H058d9hXwyEcold4/v6UJz8sy7nQTxIEokYf
LT9BpB0BU5KdAE5sRVyPxtIdoIm4YlPe+CH/8mdZeNarstIxSBo3u+KWOJRdWD9EKNP2c9NjxzOG
YYywC5b1CwVtdGrsubtxirk+VZrTfRaeIHRNEiLQlDNw46wod0oS3uEsiF+UDaa8mNiG6v1LbzJk
TIsTwMHlYhTRNSmaJtcsgp2wKjsARlCekb2lHKp0A9j8G8Zbljpb4CmKiY2AGXcGKgxrDw19j7EP
UVST4unWECgGxtJdtTT4TEsJnhCMZfhbn4aaPbnD3su7mCuzfbCQkZxrsAqTxcyCRBZswWjNxlCa
JwlOvNwPY9IRc1uN3dvCNfSZwmXAUKiT5whgZyDZAadW4IA++sFQp/uRkUKuBd4ax+ePedLczYPe
BXNNWo2GryiQXdFKpiaz/sTRk5KMEU571ZToKE22h7pZouVbnaj92EKRJ1TkQcPTgBRpXgq0/2xV
AitWa4gVl3Tj3sB27OsN4o2nOYGYVFeUKJFef+b1NP2oC0zsmgJUCg2c25tcFe8OGu/T5Ay3VYmO
vyzjC9rFHXCJetNZ/Qu92GOLuo2mJ7PuDAI+d6VXzjuuPe+6ZFabbGc9d15SphybirIiktk7URh7
q4oOhPmcOpIKRvJLgxEiQRQsokC+yrK12KIo4m1Pt1Uqq52hNwdsi7cwS+4zPX7nQnsaCepVUuyx
swHbXFWxkSE8304JcpYzajxzoQqDWUiAikMizDJf10rofoj9ILAIariEMt7lkgBTWCyk3Xix6GES
o8R16gZRrqbSOkilbv3g+HXP87dWpFtlI5Tw5ZVhUHWK+MKCMjlpDIgDREDWASuefkcVNz9Uab7s
BLi5W8OF3FCkHyKigC0m0TNjZWJJgvM1MODqqMGL3KgVzIrvAnUiHgPIlaBWDcuYDhaaUL9qtTf2
nfVhbvL8DF91ldQ19rZDycgg256CaonlWY0hG3ZNNEfXGcwDIkz8fmF6KrSpeUVt6TwRRuSis8Mg
vslmjalW17n3LXaHGy80AHKl1ZubQ+CUUP63I7cPE2n7qsFt66ume2ns9g2MjgwSsxPE56D16rL0
SBKh9iyZ67yUxahtExhDj6Vog8Kuo56PI4HiwVv3OWlhsaWitO8YXkWk0Ja6BNvSskFtsvzQNc2B
1sI+gHKyeVOL6BxGGnZnl0sKIE9gdWX/XMddc5aJ275WSUWqiWSfvWntRuPgsWLfHDO1M8IGdVsK
uZ9ouNBnRartbLSJ/sJwaV8TivhYznFzp0cgkZoYII7V1taF2BUmakY+3oOlL5/bqFXwOEex0sDm
e6yp+ga2Yf5RFQYTFPjGXx779v3EEhg4MxV07aTijFBlgfOllcVbgt3nLIcllRtjdM0T24TkAc5q
TsiK3SRPiuE6R23N+r0PowvpQARrWYV+MZyZ53qIrI0dK7UmthkHTEvRz1KwUYXTYQajNhYf7Eq8
iwat+Gk2DGyO3cg60+rVK6CK6D5j7fZQMcQ+jq7bcOUZycBbb9p+TSfATBScmlLr5VrGdyoVsC9l
TMFGnnofh/joybkmgmUATzY25UWoTp3WDKvtEoafMNJZIKBTs3dlPlO6AUjdZYvtvhpTa4HYLqz7
EbkwMRRGc4pUalN/2shqOom0UnK9LYwZP+sOQN0a3HMVz251Y0dJckHcmxwkMza/E2VzrNDzc2sI
bzeVjWv4ZnKbaWO5RZ9K9kLiAavWDMbuppdezKW9YXlprhQLxH9Oh+xvgQSEAsS76tY9hBzb7It/
aLMNvdo5oQNnR5iDNd5gtv6S4fLeoc7YuDpzz5rZY2C07Kh5FXgDLKyoGMvwFMbRZcgyKkfDuzaZ
PgVsbwZfZTJ5BlswQ9bMXyuXlQgcG+e67tn0yCXdlXox+yQqjqe1yWcQU342Y72XGPhOVefN27CN
vaCem/Qpjk0NsQ+8uYCNV4UNHq4ggkLUN31rgMeryFQ0zfIxooAP6eWGp0iXAFka/YHNR7gT4c4d
w72RNRnpgcNdSiizE40cLjMlua7v8AnMlzlcml0XMQDGlnOTCvWLX8+JDMuC5SRG/1Wwq9CHNg49
ty327WJYREPoqwXd4hc1D9H9tMw4+zx+XWL9EnF+bskugl3YuMmuathiDLVmbunzwgOm2pw0zaS9
G2q483qsmsOgvGVL8CjqXKnIPBlgrTZD4d5AuyWJcHGwUcvoenBIduK1sAQmCMfHTW5ytMdZapoB
cz1FHKJnPjMFZp3j4t/OV/tUlUd+VROhROFLXNYZaRSeymgYzwVHIQp3bRoeCEUtX1kE8fBYCM3f
27BcNJIJSEbAyE6sGyqV9K5oDe1+ErLoiqtWDKi28U+AeuSDv1QEEF/SLjV+cgO2+Isx4i9wk31i
JOAfL4kxRb6heS89UcRPptGLbQMcm39OMtOfFoTEXoFrNvZ24XV72ED2fVtO2RqY0l9J9igIqYTY
94PZvtvIeVBAYBh5rSqve58KIPGqrnkYBw5P3hrvFDYGmcz8kAdsdfNmsBlQJpUiDMVsxQu99Pg0
9Enx0DWjuGRsD/axUZKqYuvtjcVneoeWnx+G0eBTZI6fdZ6aWzqh5Bjrg3GDFyE59lPo+cKyCKq0
JVJmVWrGDbetsS3EgFs7jJmKz9pZS/GgZJCRdg6FBVnZjbbJQYzA2YCXSZme8tjqtec8OPmkbWFS
graBgXGtE5hhtuuGJpKcWEOUHGCBZUevtWAnd9UPXGRvbT1eL3NCxNaYfGSZSK+chrS/obV8xGJN
vbGmZ0XzA1MCbYMxk8E0/8SCoh2TNI7v/q/MPf8LTTQtLM0MFP99T9aPtyLJ/3Z5++j/OtX848t+
n2q6+m+WpI1A2y1dz8Uc8OdU0/6N8SQ+K9tiSOn9g+na+l/snUeT5Mi5Zf/K2NujzSEdMJs3i9Ay
ZaXcwLIUtHSH/PVzkN3DqW4OyeGeG5qxu6MyKwIB+He/e8/9zQkwgaMgBbQk+C75rT8sn/5vCJEW
r4K9KtFEUUn/1//8k9USt+yf/v//YJd0VyWlVv/9X3+1fEJftQiE25bLT7OEBS72V1GzhXPUeTgc
tzz770zuk6vMaN4puY7WLWAbQ2cnR43zoVOsyH95p+5+z3X/+qM9e/nDf817+0JIz0VPhU5v8jfC
XPvrDx8NU9CODLnAzI35EGovWhuaDG2LB361aDyrmW8err8+3tNlklx0ZYpv5RSw/69HOrli7RAu
CWh7veldbiQsF91z2c4jImpin5o2oIelVcHVThQHinbqqwM92NEE/QTmZFvL+56wXHatCz9ZN573
xY4x/UueBze47Crs4eNg3joVRxNWwIoGygL4e0IhZuXqebfAyDQnGGXfSEB7Xziqs8SvC3u+x1Nk
XSxfGV8k7grk1Cq4HeyI8zX+3iuP7nKfGMb0lCZYzFh55iuT1ccqzr1uz8zjnuk8C/YLLIb+WpiS
aJSGAUuDRVh2cGRjXaTb0JXYGkmHrAptxT43REhBWkg73BPDYgsOLglrESeLd3Sp1F5nVm09gAjA
eEKOCLoNrkcEACpMpj5VF41GchiyJi7uEXB7cEmTeCsdpTDOYtGc1mIueSn31OF1iKI4w941FI+l
rV66xnC3fYgeG1j67NNoEoBpOWD2VIe+pQ84bYx3rxMB0VlnJCRA6hq3g6JPPstSMBYejn6NV32k
RqhmUOzaLDv3/ljsc4L3e4uAdrdOG7+6lBz/jujBxcHu4+FLhE1zH4SUOOCroG9B+SDcOz5uZWbi
g0U2ptyyViEQymLcZ3ReF6A1L0GGvzGr6RywjWxfWZIiGljkGAwN5R9MzfQV8M3BB6M78zIlQ1yz
4i/kuk2HkGYvg/kmb4sZGmXtHMnv4YmlzmLXg6rbeLpTL2x//ReZZeJapzXXdOSefbNB1V6uc5rj
8nXDouNqT23wpYd3uIqLTm8Ao6itLUaqOKAa4E5roNHwCaovEi01WLmQZB59PMomBBNoCtV6CgzG
ZcCsJsUUKhneU7+zzV3toRryFouyoVUIzNA2Ngc32znzjOnPHojN7YokmekFkPbXklwIlpkSO41M
db6faNx6HOxQ/pjJgTzKQQVPWisLUSzujPc0scYLzmLni40EaG7GamzkjRNDAl4qMOmTCns3HHYm
dQd7mBIphGOYhtFqzJqIR3MWDV/raURXpUXZuqSt2Zrvvq9I+5EiXAd4KeDszV76VY1tfkcahsNm
1OVfVGK5dEo0R1Um7gHQyM9ZG5xK25HgOe0RPyMssN+TUaWHKXKTK/Dm+AigCqEjrGe6hhq7RyWG
+CvcpOZLPZr6yRus4Fsa2uHRqLx5Y7i5sS7VMICpUoV7yESTNjQ7KHWdAWBtJ7tsX+ww55zXDSYz
8Ox+hHNf7rqhSn5aeK62TAflQ8lCmfkjMD8KvBF3Zjd3+zAOeQtHXz2FaVzt8x5Xsx6j4jVO3eaZ
har9JP3AOcZqWNzME7ZjwpykO7suG/a1Ujmnz5KQ0Jr9ptl+y0FNRefYbsm0FWnuO08WcyEGTl75
2s7hPkyn+GcY2p48OMS35y2NO9V8sAZjhnWXpNMW0PLOn2IsKoE7Fz5txyAT1hEkbsI54+StFCc3
AkApzcxcaSNttfjpuCHJgL4aI+FuDAuMcSFGH013sh6mcgOGAfSBbGRw0fVUnGZ7MtWucTKT0iLD
8o8ho8y7a7jBHQac/tgIGb4oG4jFJjX6wdikdFAZW3RDvjY9boUPOm5zqq5QXc/R5A5YHkstj9iX
knDTQP+8Nxn31NqEnrsNYWB/lOlY32gUTusEHSnY9sb0hkWvtDZTxBtT9rnxWHZ2/QP5u0c8Jko5
SAv7mOg6ZmrEes0CYCrKVy5+NHbUSE6x2EoovMpCjQGrc5sJJx1oL7RD2cDK6HSj8XEMtfk21j0O
Ex1nJvFNUWKj7hr9ZpRo71sJ/PCFFbp4bRKYnYJKhm9Jp6217czBJtBzu4PdqG6H0Qu+KwJsN+jM
QYpAqsGPmGyL5nU+h9V+ikhNrvnPkjMzylyto1raX5C7iRBRYAzKtXI0hQxpyy9QZHO2aJLzwLBH
KQ6ryywlqpiprGaT0zncL2JOk/m+yiawGmHkdsDHoa2MO//TGc/+A5c89gg6ehfrPI+eEDgpOT+a
ERZzfbbY7GnupWFpsd4PiwnfodzhgnrHAy/CfbMSi10fGDFmujy2DU2OgdqZJlTd2l1M/owrEo0X
4z8t7MQ9g0Latyln+xtWJuyRwLxfMJ8M3E3n+FwEzYCxmr4bNjA4YqgCdYB2BkvwwDCxwVDiPJNH
QIsSyxcdMXDWLVUnIvC/p1PBddtNCYmGirqDny1Bstv5M/GA4m/s1GcOIlgiERzrnY0vKn1vZNXe
1t54Fy85Coiy0bOpyVZUS8qCXDvOnprKDCp7SGHESx5DxVF8q+QS0rCWvEa+JDf6JcMRf8Y5LPys
MMdi2KiARmyxsh1kUH+OLyCdtiC3eCB3DaRDUREVkVb8pV/SIz1+OpgsTpPdWJ/pEqhPN85n5GRg
S/IwwqBfTZglznEIe23JqFCy9dAtqRVoK0gJBIOTJdHCAfabQ+vUZiDsAm2Xcqwl/+KkNT+PF3q7
PizkCamepEzmWVBA6njn1PagVpTd+XegtxlpPAUOeZN9xm5YFVVnyJwgXAKH0bLiouIcxEHoZ7Hk
duCpEeHxlzSPZ6UEe/D0E/IZen6hoxUXyBJWhjUpUV37Az8SNg3HT/S37tO8UXwaOfrF04HWJy7Z
p9GDAPBi+vg0gOS9i1YcsAEbjsuefgEvz5zWsk96izM1ZzXpuVtjYAPvIqMF9VIv1Be98F9Y5eM5
jPwZW+AnIIZJ1C1WcJWcZJsuDBkqGeW9A3Xw2SS6FOEBSrITXoAaozsRwGTbLjyaJirUuDU/MTXF
FAR3jarnm0y0/YEOU+dLupBthGWl0Dug3Ywo52I9fkJwMgL+9TEcE4cBEroyH97C31gvgYdkBda3
/RF8AnVghgLXsRfODlaIBbmjMASvy2lB8Yixai+dEcRqO0VVdYkXao/+BPhEnzAfPhfAPgBBgPxg
yuAmhpTrqkvbLCCg8hMK1EYGgCD6Dfp5S16VOpsIwE25SaNlkK0/4ULpJ2iIYKV2d+7CH+o/UUTQ
tIlFpb1l9afAa3p/h0mLQ0eVB6eul7nPsUeMnIA9WuOJMGenmlWG4rQGEKmeB+tFxsJ74Uud9ifT
QVorFojS/MlT6he00lSHfXlmGmZjJ5KhwSI+QrHaII21HFlhGp7BcRsfgE6SEdz4TBJcCo5R2B5L
yE4Wk0O/w6jNkprPBPpTDGDoJacG6bmdADRe5k9SlKuH6JhXbbdD2TB+CDMNT9knWUrwVDlO48Ct
uFrQU/awUKiSBUjFp11fMeqCQZzB2xzJuTGCqNw6zw5W58AN9aVALGcb/cm74q++nfgluvXoOeNN
3bs5DZYx9mXyEiRRNlBt3S8a7g0A5X8+j5l/NbgwZQbCBFiAH89fsCF/HseAcwBaTxy9DU2RHysd
fS2T8rEx61c7KB4tt+TBKtHnOGS+K/Y4v8sH/3AU/WsGcPnxRKZ8zAi4Xkg7/vnHZ6GyimwwoPyF
tLJSeVpeePPz8z//W35OtH8aOvkxS/aSnCU/xw3+MnROaoZlOTvdtsedjMgMt3AtDdvwD07MUnKd
9XVBoCiAnlryeLKw52C1XZl9Prya4+QeJ6PsLl5d6IeMZfZ1ectIpwnrxhjYS1oWg0ICBbRcdzwX
9R2x7Cr8DyPnd0/Yl6n+8d//9fG9SMpNoiiq+KZ/FVZMYVqWdP6pyWwdf5Tfk+ijjf/fr/yb1wza
nQXUbule+x2D84fXDHQO9T1CkID9syhji99kYIogwPvFd8R3uEL/EGX4V4DGzQDCm8+Zgm/RvyPK
mIuV7NdrlLKfIEDmQQDyBEDhv6gy4GYl7ud02ntD2zwV9Dy/NkQjrr4VxkDHgnakQUN8DTOz/eG3
dkkeRVEj28cx4QcFBFwygm0lxtjX1uwrkkEgS00/yb+7FFm8fH6j/gNs+hcXIx0SqHL/WBvE1/HR
/noN/v6CP1RB/zeiFy6ovUV0W4qU/o8q6ANosvnHALzRDRdP49+8jpb8zcXjQjrbDCwP7+QvZkfn
N17h+YFNetzGNhj8Oxcgl+1frkAMRdwhgSG4LkKkWPTHX6W5pvdyLPqFva+BvH0B4o8iM0HyGSXL
4h5yzb5vircYEhit6r7/lsiiwD6Ax2yl+R9nX/I1ucZA918QmpMb4jHe1QxKGVJaomPCVFYbgzVs
Pe/FmmFmrwbo85cwi5mrMg3qOaOSZh+xQ3oJbK/6OVdSv8RYKWC425a+9aQx3gk/4qivhMG+o8p2
g/Ct09j21gOemObsqLI6MXZCeQhKfYxguo4bk7XSi+HRVXGuEXnOaR5gE6LTuPySJeEsjqB/DJxM
/CDGEfxUVMf33jp2i/BprNJmXzC0nr2g6t+bpKazOKUCAO1QTskzoRjxFLrTQKe7HfFnwxyH75+n
BnHcfLa+B1GY5+w0MdK1aox2bu9lN7SLtM4qBcZw4TsvHVrBA4b5ShYBP9tu7w3YiwGcwmS6Dzgi
72AzltfSdzLWWMgb2crC7kmXo566n+xWjYeQSCtwyCQcPmrTBUZL2pedhDKm5iYeM8J2jfCLekfR
CcWyUdxn9/jypqNHV+Oum2Ctr8oGnTMbMpszsawutgufKTVNGoULR9i7QqbBAbtUSzrM/hnrnDSe
F7upsSpzpz2kRkZLagWPyF+PWvDpxh1VRSyLqOZRcZrR5FxKesPEgsg35aNbCbnrbbv9Puk8SXg3
QpqdjNT+Vmfm8Gbq3jvR9RqdXShV95CkrSc8E+01c6HxseUWeGndWqTGFj8VC3w2IRF93qmHiZKw
KaTqMaDisay3nJvLaO1WTnGa+lJenDIdTi6D0v3ssg+1QZBuTc767wVF3ThVXP3oCMoVDpWVivtk
NvCQ+KjpJJxcqqlhrsS3tScovpaZr68uNruL26BQYgrA8EBCjCSf4oRO6whvqd96dI4jqFBPGXXw
ZzJC0JdwUI+FmMP3oC2zk5E5zptsqZ6WxpQf0N8s3qbKDG7ajjdq5UpqwcAoofkiU/mEgLMgJYPr
VUrOLP8ZNla+ArCioL9QNeERz0+mvn1Y1C2knhQAcmJs3Lp5r+si3IReVbDi7I3nxmlHosLVSYwd
5uQuXIBFzq3OHIwQbrD71IzD1nkJMbcUnaVwlMmW6hsZXxx6WeiLbr6ZRtvcgEd6bNr6Z5CgvIZ2
tl3gXwhaaq1n7MRFQ/jexTeAxb9fsU8B9e91xS1AfK566kFGbzdYVlZumkIRlnNQnYDMz3vCx6wF
nJROT0wPiIo2XkGniOGQzbq4QJ4gy0w27akM8DQbAvZwS4nXPnd0191rLwyxVdt5y1JSUGWyiozR
fyeNhu9R+9rouVyj+Bu5eCE23E3okKrETOzXJ7YU41LjzVlJ9MFxR7M2vyQvconP2JHGK2IPnXEZ
sEPFFFzK7HtilyQwzNTYoUy4XBZ6JP2IbQfmFAbIqMFtu5S3IU2Aq47wfBOiCsMnyVuLlMSOdSAh
tPMjTCKbLB4Y+5ZKjy35227HADRftZuIRz9t53ekZWZoK2l7wrZWhWsyzO5CosI7kaJK1slAFaSR
uZTSz1pMO3SscZvYxjAS6pd84e2+e6uJlh2azMO61s9ZAmh1KYSoMloBYApY19aj58hm0DsETdS+
OhYOrbCd4Guhv++KutJ0KJX9o8jN9tXIu+wki2ZqoBRJuVfoX3wfInVHQ1RHZLh2uq/RWOYUqwaH
GZ2PvtLpokWWv7ZWpGjkHQ/dnBmPXU05DipD9jAlTXTrKTHfWrjX9pQJ2XdNeakTfWQ4ne6ETijW
wLPxxM6r36l6KK01zp/mOGe1cSMUWPyzzdV0O9RtTjiQO/yafj/z5Az5WwhN8w18QPbcJF115W3O
7hHNnHdSjR4CdCvGGuNSz/gbd9Ml7mnoIVs2KzRTbW8HXwdrBd7kSi1aOW+GhZflBN05n2aHKone
ZayhOwDbPDzNIOejm4cs3+VzMT+GsyaJCT02e/EDItJTPerbInbsk8yL2aPjdWZp46Xpdyz73dHs
KVZYFYabPLJb5ipbfjYod/tOQwHYRXg4DhYx4G8mO429RyFDTSGDNRG9oceEwpoRRIVDGP0iae9u
6JLIcfDxuK/bZmemJEDhfgwPcaCwkmojqvYQpbMjhUvRHrsqI04Y5i9MQvOTBltzoWaE+7vJXupU
O1Rkr5mdzGMk7O9qAilKBU+G69lvsu1cpfXTyDhF9J2jR7kJSCBeQIOlV9Zlk79S3FvduPiwkfi5
jLP0JnXa6JamD0KL4RziCiqGIHsfuJ+mawhLtoG0UVb30vFNfRzorvpSkeKgg72CwCpU6z2rJuuf
xtT83hJBm/dJiCIoo9y+lYGKfshOR7vSW1gi09JQMyk2bqi4Adbn3Laeqd0evkhuNR/hKBNuuhax
8BU2AkRVmbr1kyRf+iO3c2D9NkYtrH+oIoU232K2G96hTSl/1009bEduoiNGX6p93fQ0127/GoTR
1yBS0EQ8/9z4QbotrH5e9UZ0IGz3SFIM3EBaDaepCW+IUzcrkTbE27thpoC6nqzHrOVLcuiCxD2P
Zeo9QlQIMfB11j4tA2p94pRDB93vCltzcVNNNIWbtEYerdpw903KwxQQm5HSQAGmoHSt4Z44leK8
R6A3LuxgV/NMeaqmKt+Zc1tR4WW2d9A/xqesng0avEhLor9hUlA52nblGl/8UW5HB2drCw3jflBu
cdMCbFlhu09fzGmyjn1bdIR1y/p7SdZtj22t3EYctw4jvLRXzy6m20Vb+d4rizJINUOwHTxvemyd
BJtcqjmYWOoATTi+xFU37bI+bt6DUs1UBVTeT0lYel2H7m3NggAHII/70mrMr1CNeuiQKZMUHUOU
OaLzG8k5L8LI4SSZjexKYPoiLxHrGAuAWZPXciMBc/0VW4W1hYHjn6PQ0PuhGJI79gP1jma7YCe1
me3mVAJdCQOKfmGFrk2wGhgUx+/Id+qOaOxNR5/hwRRY3iaTda6vCYHLiWb2RhMrn7rhwqEz2aRB
6dwC9cgPYc1tvRKGs6vtbC9kcpl0/DVwpu+1CbwlitQODsrC/4sS+VDVNfpjUwtzFzfGmXti0a2s
nMrQouG+CmtkLNk30CnGMYJaJHAMetjZkzYefEFY/A1KhS9PfajGvfTqgM++yp2fHLKqbg90xHzm
IdVg+dPmD+kOSz1D0XD2a/0s+N53vmliouNppJDbH4PclRsHMvFVKOOaman7wGFyOuF4iYkkqeyi
2iTgNNelxcovUlyWeMUxMg2ta38B+xIdCjx3HCmxNg86Pdtu7d1wRwBQha568SKrhyUU2clrzSsu
VoFxmO008mKrfcAFNauGNxAiABVaq73wfXU7zl562rXN1N/jdEgG8q6ef3VIVlK5DqrC2oaccDcU
b5vsvOgie5xNz8IjSBHqW5nFxcWm006szcJyb+yKEwpkHYACHFaRjWLiL3eZpXHsqEKRBFbukMzr
rAE3Qo2owOqahTWgiiw2z4jXAGRiAXswkhwxnE4dqywvbnqMbPlGKyLqvSfvfXy5BI0kKAy07bL4
7k+J+TWqO//qBZl862JoEb4fGN3K80hUrQtW8/E6LMNuXDu5bwebkg7QjVFBwwD5NECan1qEhDZr
p+3oS6JkuvJ3TuPugwyooFfVLcAvit/XU4qZnrvWB85P6iysrgJu7sT7nGI1QiJ6H1vRndW4Pxuz
p+CIIsrjmIZqnRXGUdTxgeaim5kdKB6smo4bAiKPYmiNbSkIEwP7CDeZgD6bO9neWEYMKYsDbwSF
tripK86G/CYnzy1/iom3JImMg+UB1+KDwAvh8cjB3o+LHGZQ0JJtoQ/7i2aHBSAjejI4dkBQ6Ydd
m2pCyIRY6LK72pZqNoUwDnaixx3DyFcjhM8AKZWVMr61ADuVFNG7rqxzREkOvuTW2mBH8TbzgI00
q2J9lNkSrBhM0sdeOG/IzNgbm4zSOnMIwSV9qdYU4lY421uaw+BB5PCK+majuvigg4Y2Hqe8nTtJ
341dVFsPiNSV756zr+0w2PDoMVfDQG3iirnJPqUlBWFhTTmNQ2acFRhbyoY1JavGBIIL6St7hxM9
41BqQCsfTTe8B5NggnWgusxeG1QrNisJduTiTV2arLuc99dvc7nPRkOuZtvpD44hw+fOtLpXlZYQ
YentYGBJNbvFUU2Ubc1W39/nIi3irRfVwTORsfFD21F4pgFtcA8tGyMONO4rMKcu2mqWu+naXChP
J2GbyQN26LHYQlGbD/UoxhUPDvESlSp/BDdWDysSS57YG1muTlJKWhB7nziUkH39AnPy0Z64FIX2
v2iduWduMADjk9o/jHnzAXLUXjUeLe16TFHVVbCtTdH/sKaOsEQTCv8GJot/YMZisRmLOn8DYuCR
x8FrSmI87N/5ZiX09NRgRYoC/jOuKOpNeVS7CSMcJa3RKZ2t8aB9VIKVH5vBNrHa+mzicMWAEOEp
xOCP7TUPkn2CAwTIjlTyiY2QcmBdFNhKw9TOjv9R32BR6ulfqG+m7fooY/9Yfjt8tNNH+fGrAPfH
a/5QgBHTwFsLTHSm4/2qwFGGQsaLVcTf16uj8/pIb5SpcQXazqdl7w8JGHHOw40XUIaC+rb8m7/Y
8P6ZLc+VfzXmmRjibBMql83gDMb9LwJcZlqxlWVxuU8X8p4UcpA7popiV85p+hpxfb0BvMqPpZfz
RQiakEPz6NhbkTWsFnvs3mnd6kdK47BM98g1zxVnj1drKOXNPAvnKXFDdR0sYR+nwk6/Volh33Rt
NB7pV4gOXuFKQmwC4uu6MbXzPYO9jb+o6fSNh735iyNxrq0Soyh/TlPNaOh7+RcrNwdYbcI6Lcf/
O9XYGcfIvtzQxVYcI9KnK4/13nPhu+rUwil95hkBvystdgliEM6QoF/TfctXq0/8VZoS5/LYflFT
5GOOSBkpqtyHYRABqV6VXhXdBAzZ+0Ql1cYBYruxm476GGxjj7SlSTAaqb7pTB9TRehv/Nil8Dzx
xIXzPcYverpPIwVaOxex58axemfXY9h67LXQV/ZfMyh4r7xpLEctxdzmVqqmf8hL7v+9DkgK5gKW
S+fehDAioN2OPYGcLngzW/x6JCB6nuuWszUsOuLznNIzdzk56LZeQD96/ggK2L2ciOtdlVOjbkEl
WMHWzbHBa/QNR1hPIQWYZalrd1PqtiFAyIrsDWtC9KzpbH6d4lB9Ccg8/jBnZ5YrhxAqLeCNWdDg
J0CWHImQFWqX2LF4gxy+tEVz0ELCmuX4nmKEc3ZZ6CR3pd+HlwRY2zkw4nGLr9ifOLvNfrKpuiCg
gDafnDXXiOGTWM4bEpPdTLN6DzfdBLpGqM7EPiIqk+eAqsqLXTjYd0a3ecwnPhenKQT5QvkTIEh5
z0KV4M9IMhR4UrQpoNi/AAqJtsoPuhfZp8kzR95oowDWWISazmk/WD+NkVaSQqSY9dOu6SqogdN4
z+78O4nrd9eV4bVu55YPXYZnKwfD3w0451c6rUxzHZLZ4qwta/fa911KV5dvbpJZTSdyafK2qIN9
ZWRPY0xJz2qQUX/pcZp8tBTkHCbLGeh+9okDTnV2dAG5W9EYHkgNBhR6zLZ3TyK/uiXNNe0mzxtP
DUjTN2xZnr+FmW+8Sszez1GdZ8cyG4b3gk0ozLgeax8T1qZSvn8e7EZtkmDYZJ57n4xm82D3Y0FV
W95/pHbTPBOJj/dt1dlvdV9Hx3lhW1GfG0pzVTH5Xx0A3PGG/7S+iZQbeMz3TnS246pfz7Ktb90x
YQjx6/olDFwCzyzeO9LMS6m0oNVll2JCDXuaipAhHPMhMgqTpCd3h1s2FTz4RqoKeHYWpIl7yxye
vSKRJ+bpidSiUV1DSXO8Rxr/Npl9da1L0Fo61u1J9XJhbTEpJ2uvrj3gdVHCLjlniAiz1vzhE478
0WGjv1qmHClzLhrMKa7VA7rHRdpsSqUQJgdPDE9JG5fN3gSxmxOL6IB3g1qBHTORziTtm7rnxl7O
VwTG3atVym5bUYm368IlOsIOQdAh70D/IZoQ11ttyz7ZzdLwbzQK2rxquRW/STycCVxNKIUErDB5
roAmGQBAc8Q9wECEXU7tPMQXnYzVKzk4cnsMjN39aPTldypgFhxmGVnvTuuO7gr3afw2Ql10VtwQ
gWHJErpARoADwspEYhY0kGH7T3jF3ZusMYfXBsgKrQnoQFTjGNV0NAbhlnsNZh2OBAfUr1E1wjzS
SNavHbsJSDm5396JZSawq2m5aQ/hxI0ReS3BVF2OO3KkU7dn8bkcn63AeKMAFnImdAVjJLqvxvHq
LWvHQ5JYYLpsWjdAA6RNvB1HbY/byDKnea2MISXjihbHxobOwscEBqlewftntOGApr6KdsYT0nWe
F5+T3rX0Yx0L4yyJSu66otbsJbsYWTptiulRRJBu146VdW9JCw9sXUDGYtLvBmw2sLgBAHYGwR+h
3JAevZy2xMi2XTKtjIcnVBfvaJoaBZya9fFna3jlC9wAtQfMNeVr9lGIJ9nY5A9Jhr+wo5H5SnXi
z2Yy2g83CR4caJZwyd0IC8yYV6Q/qcQ9dW43vk9+z3bH6XrvHfQPFqFFUzsK6j2hnMqc3ZTZywei
9rN/F2WhgXbkFCZ9y7IddgDZ+Qu0csmY5wFhQY8hf2DMKdInthrjGWtb9CycpIRiiAFpw2kVIgXu
q+EHkGRAOsEw6rWXUFESx4ML5bFXEgiRqagdKjr3CAaE733LF+G1RhX6QlQmOw+FxOAGuI4LsIqd
CjstDsp9aEbmE17r+JpBKYvgbIo02ZZemb66sud3xoZTnDxHOSW1IRhLqaSHyVXlefOCcl04x0Sm
0AtDWQzumhobfJatUAxNJR+cYefm0q2g+AXdPsq/N0ZP0mVsyCtjgeUbo0Mzf0mhQJy5h5ofwtTT
C7s6/5gDBWZHIueUey+o2fXAH41AD/HjLeD196pnHFphKx721BAZbzgxxjOt3uKpIHH9w+xHdw8g
IXiO5tF4IkaT3zv2GClCrW6/ibVdXG0Ca9TYh7yz3HT1bRoCeIWYH+vnvncmvZkTu3rH01fD/SAS
yHe0th9d6K79irui8bVsgATBlxQ01ozBgu+0Qp+jAguN/COhtbneG32f0hujpyBbpUnVNvvUKsQr
CWakh1KUP0jZ+cWLOYTCWbXTIB+AO8dEggYEi7ZP5w62fZXdBTGWRt4uzwKJFbnDOdQ4u/w0je8H
HSNWKCJtm3ZINoTk8698Vkw7M8nt50GR8a56kn4ObqOHrI1xRS9ZYjLyOHhYEdUopAY16dR0NYZ4
rtPMBqDcORKiCcgweANS0oKatEF3IQCBMpB1XqQ3AK/0rWAdyOUpoS6urSwOX0MP814RjNCUqLzX
t5ER1c+dGr17PSTBJqdADKNCW6o7E/n6Oo+COyreH/VAwLR+GPwQ0q4Wwtp5rekv3rykOCbx5F1I
d9kLk7LmHsEuVR6MtDN3JkTMem33Ge67mZx4L+mVBHTSprce064Jhae0PmZTVs9GE8BAMdkS3Hjt
yDsS5FlzEYIg5qp26uRAGM3/AE5jf8Nswq8VBSltG+Y48P7GE3YrR0bfmA4hqNK395yIhHzYTIGX
MrR1k812es0nFwAmRvF5nw4QCHjS1hkzo8kKp0jZUe2rVAWXMBj98+hoMiUsWXS6SZJYvQ85W+5V
Xir7Z14HxY+QEoYTrS3RV3YA04TpfA4u6NDgy2xxnOacx/x/hsb/n6FxyVnh9/rHQ+NjkmVJ8evM
+MdL/ubaWEIfPDe8z+4shrw/CFU+sSxTeJaARWX6yz//A95v+b+ZFv+AKmvHhP0vcVr834lR0LMl
fFtylGea/Lfg/Ut55y+mIcwgDjOrSxkADme+Se5fTEMhR3xSB5Z1cHrmmrkdaByukqtDL9RJjgNG
4WamMZ0F+hYtc3xKhiw6lSaO7EZoaJS0zK9YPfgwChTEDgguDyVA3GMFsvlayPFf5b/+bHL6+993
saD8wvynOMjTiT+ZhyDJh8PkgHCqGUfhBYdQAARd69SWXINChPtfPtK7vw+eUYP2L96qv1gNIVgV
JH+IPSWRoi1yhESMiuvv5mastmlnVJs5oIa3M1usBJZ7O/YtclUTFJtABtE6ralRn+YSvCcpdHwO
DQpqG9+ydEIpqnn3PHu8ze0wuoa6m9aJrKoV9b/ioChZqiniavPkKcOeS3gYijc8Srgkrxmg1HnD
TNbcVVhE9jEP+sfeFtElU9JnxTIm27y2ilMRiOrqcg68tvSSvcXdAC0Bl8glMXNI/AWR5pa2ZFF+
m/pY8JSN9oZevBlBDG5pMMWTM1TjUfblsGdrRR3gGCU7TPzf0jZQyLwVIiB3cLGPSyPdzVUpmbUa
DjRkR8hKpU+InrfQS+8bRIYjpdIUN79itwnOOk8xVqTBC5YHY+9S0dhOyOlT7JHymaMrHnTC6JHE
nksoYeV2yd4e6hypT37ogrx1PxDEIsp+IndP1KCfbkcRuzsWeHrbLVKxEdv6VP9v9s5kR25k27K/
Uqg5L9g3g5o46X149BGKiAmhUEjsOyONRvLra1GZhauMl0+JV6hJAW9ygcSV5E4naXbsnL3XHqdp
x7HXjGLyeZp4sXaT0A8iaR5LezrFywxhSpCQDA/D1PBA593JNWLsVJbe7fLChrmKMnuX0dNkqfbt
ranaboMPueAooTdbLoztBYEP/FRXf1OJSGh6sgmveTUzsJ/sTknQ4Lw1NEHkOZ4Dhqi+iYY8nR6n
URvvpmoaGCEhYW9dSYqsAmKeao9GPaktxW7AWYN7kjZNehPIxNoifymv4HBs0bQYnITd+OjjXtsP
WRof6VeQQWriUekQ1od5Rq2M8yyLxslaHgFckGmTbLVmHMMxrY6LJQjXSrNymw08zZNjaTuiDZoN
sFXgJoWczypJUZpnQ4YaoXq3vfpxwNYoApOZIJ7tIPUfdaCgvSupGEp+S0fZwMmL8eBag2KkYXlh
7ZFxVQIJNkrZRioAST0GzsHhbm4qmwRW57mue9hoFnNdmi/0Z0qZEyVCFyEu8wigAQAPz8/3HdQJ
o9b1s5bYvGoK2OdEivSmaQfvPDdt8UDzR4tmdASTsh9W6lNU+JMWVnOq04PJr11/MjGngYYYGnLm
hlyfolkz95oiysnEhW+7xB2Z8LYw1gHeKo5d5d9nPhk43Tw9DlN2pvkbDkN6PVIxHRqHCb43bqf+
GWbyjdcZCIp0eZ+mrf9ERyfbGV7AHENSSjBMJGz2Igq8RVX92Gtia07BDiPlN+J2tgPIt4hyfYRY
0KchgKxrxG3p3iBNj8yCuwwqgSaMm8mjxxzXJpyxTjOJBJm9XRK7dYPApOnfaTw6/O61/kA/fteb
pXmvYVDZxZniSLeGKYx0JTY6WQjVhvoh+JqWGf/NZSG668kf4uwzh0pKoni7ttxx7E5C8hPLcOqs
+iDarD6aBSeIFsZ9JKrCufNjjCyk0C+XXO/kodSSdA3uQ45iU4NzVAQb3KkzYHb5KAKoowtRWhsr
0fS9Sg1QVaUHZoymo37F0V4/Bp0U911cyVslrfaQYbwkHj3nD+bQ3sELp+FQCv2KtLObdp5PwrTm
reMWjzNqDOT2ZCe6hf2MHySlSUWkAREtHIMQ8tNma8W12WET1X3YP4NdoowTzI0xhy3MdvsMmyZI
g1wTTBkAbWw9Hc5O0PTOS4Uj3osX1rvcDqvFzw+18nOUJO5yEMpbNprR/EASeEBgMuxJ0DFDDQDG
oQ+yV4u5xZaA+DuPViR89ljb4V/GhTDiRFNabhyrNq+vYW7c/34fW/X4/1YJ/9xAoWKajoFz36OI
WPX8v2yghmanhlb0xqEJmrsmq9xDlROZmaXOP2jmPzkD/uMnfSotimGqU91MrMOYSIrdOKDd2I8b
+sCIIQr33TUxzE2ObeDZZOVtPZLufn+tP/vdny+WSt5GEWtaOrTPv16s39SKKdgCBwb5YxvqtqmF
lsQo4JceMDThgSDqjOJhWNrhUNQ0L5jo067C342aM+7OgRo4BvYN1MVc3BXkEyOpEqzyCZz3a8db
iNAydEbvKFMOWTzUB3Oa+q2A5hQhGzoJNJMH0BQ/ICppGON75qyiuuN7aNuEk+Dvr/fv7u2vl7tW
ML/c29wuyUQsHOOgOX18T/fLCmdMwGQbgJ/7/UcxNfkPj5Hr6bah8z82WM+/fpShwBINBJEcMunh
DCrxpzr2m+WrOhJO+/L7D/vk+f/jUfr10z7ZL7QMxgA6WvPgZOMtxHPrC5hkecxV8mFkEEM6txhu
ZVqmJ38wl8OgTVZkFhihfQ6jlyAnd5I7GfW8hmhhJgJmJIEi8RquNsE8zzit0bNTOof/3InMualv
dSJpNm1BB7GcDP41yEj0i7SraS1KurU8salTfn+d62V8elyp+A3Xwabk87t+Ht9UNCs19pGD2zk0
UTE3hZVlFpRurnabjRoyPNmhF/r9p/7di/qXj/1UU5sDoaN6A4lLsxGb+cL58AqDnVnQPcuErp3q
ebqOoUzelmuV4ymM0f8XX4FFKXCJsMUjEXx6UUvdmPq2yogJynBr9myJmdNf/MBFBzo4wE9a9wbM
IvWm5b6x6ne733+Bv3mcg18//9Obs/b4CCxN7MNQyjerz6broY6tU9W5PNhacvX7T1tPCp/vM71m
h3tsoPp1Pl1tipBWoJ3QD47V51eo3BSGxXjY/v5T/mY14Pf896d8uqYeK8FYolk+VAMgFxABBrwZ
eztAGPuH2/d3n7ReCrIsZ02q+7wYtIGsl8XVD0tMO0T5xpfSDY7sM/9wRX/7pP76QZ/WAc4fRGqV
wmY3ARWaKRpzOH/2CBVor87SeigSlAe0AimPu7VQNtuhvfz+Z/2bI7PNANjkFcUKhPft074Wp5Pq
vCy2DtLL28MCVe+xNW3jCHXDOrTW9NS0QRElIwzRjCDnkKlOF3odYQdepX3VvKzYto3Gikl1UZ+L
pPriCgvgYbZqBt3mj67Nf2qQs/7jw2brjIQD2j7rN3Y+PQYawVRxtQi+WiLPgKRJpkz1bE9W6hpL
s1ymwJ22rdShtQCNSBRzPg6h2i6bCsp3B6XtSExnhOqOmW8db5mLRXTkOehokEU5RPxoWzyOeocp
3ILwaXgjI17IiJtxRizRatmwbfHJR0MLxWAsv5uZbmxmRSya7o72Vd/3f5Q4/+0t+gd1Ax2mgLX7
P29U3XxkfUpN8Ydt7vjxv/7nn3/lz0aVh4QBCyXbOe2lP6xqf9jbfONf+BV02kM6azPONx6i/9Oq
AqVOFz1A3LBWAz+dR3+2qgzvX2tAI2a0wIDQjjHuv6JugOf9l2UTEb6Pw9SnX4UP0yY499P2mI1u
B1wTgk6LFV4Lm8qBayEmTb+kNFIYnPRYaJCdYv5HCrw10WdeGW5d7uJy6s5k20ASnnS8C6OVBS1B
GmhLTZLO5MaPlSf2Zo1/fjIg71LfE+tKLB/kvDpT4kT+R/eyZE4ZSbMpj5lVpoeqyMVBViOxVqtA
C4JqfZPZnj1sumQYA+zxNubgqjBpdzezLaGL20JwWPJL+5xNGTMKSRLeNpaWdmFAVnQ4cwR0Lzrk
2nfIBvSRfGAB71iSAXrpqNDQ/2YnRusYhZGYN1cgAd0vPZYD3OJg4aB8kPzYMGwUI3hESya4rur8
GTbLq1r07JKJ7DEWZDE7STUykQZNSfpcerbNLr1HP+ASwWSXFz3LzT3tiH6LdJRe/Vynx3HWVh6C
TgCvKHdJUy/bgJ9ui5IpDbVOxBwhUwWBzUTOFvgXv5nKs5kMGZ3p4sMkhHAj4dXcx76TH2sDfhNT
pPltWhr3KnUWfQXvErsSZjQLOG7hpTwVTQbVt9ct2u29pEUCZdbxzxoYnBbjv4YuASgak6h2UohB
q9RjHIpe8tad++k+GMsyoBmSmbDMaUTdFLBtBZJRs//aeKnqjmps5NlNGFtsKH/im8av2COrzh8Z
4ggEWmeQHCUAJEgl8Cw9RHqwG5Pgth/JeQzdAe34rsaUdILRwPwbVDiI69jvYLtLjrk7hmNUjgox
ehL05jUVXP6mjdLcxb2q93WuMRpvyrG874jzfMJZ5mydwZ/o3FXjzWB4JbcyGIFD2ZPPZMRkq3nw
jSbFWJFZ5hfpKPcZeaZQQBeFcccm4N64pj1WkSPi5iAdrzwADVYtx/dx/jJwGnvvnCy/64GZbi0t
xRaCgHZOrhSXNO5kaTRAYEoRh2S6ZfcpeUmHwSv0g1sk0w6SUVUCM4aH1bVecyH8bNgl4wNiaSgc
atx5WvrcKNjqUBvGa8Ca3REjXf6KlULeOo0YMcfht/dFfUNJQgLBDItUTstd0ZXWJQeZunM1tOIQ
yDsyHJEO70vHGXir5yndKyEYJ4HSRv/aIs1dtjLAxBJq7eRENkHU3708fh3w6Vwhna8vqgsm5EOK
VJl88dB/g7G9QsvcnOqlxwvlm0Z8k/f0XTb1GNdnUrQEKfLKQDEr9My7q7OyfzaYig3hlJbeBXyS
eJlMCB2RQasUXYjfuPR/UMwSuGP28lh3iZtt9dHy5zdb5yY99D7B4b1TNx8lyk4YTjhu3BbL0TgH
UOs74lW+0B6ZQHnmaM7omI5+t20swPzfLIxHwRXcoiLHUWVl3IrV06ekx+AVEVUGr88Y56fUB6bk
yIFZoTmhWU8b1NaEJxWM+QZH5rsMgSanbJtEh63nyPILpYray0BoDmdi91l2gboyrKHHja7XT6Ug
dILQKeivHJQn/cPzcpw4BNJfSJovdkwK4t045CiV63mxbshbmN/rPjZeSzGVoYcO6TDxFrHCtsnO
z4f2UWUmnbBSX4gpYqDdNR/JODR3i+3G3zE6zofCk8uHUNNIEKLOP2wAKkq2pILb035KcBI+witd
EZVe7wPCQocz3c99R6vN6xkg7ryOP3pM6PdFAzlzNEsZHbuH2JyKeMWKV+WlpgVgHisSZwDqmhl9
QqNIlscchE0Fw5KBG2NQ106j3rdXhr5TJ2Po90FxmZxGY3tJsA8YRHhtFmnYlJYrSidollAPGm5l
mdyUfVVeCR86jIZGYNpoNug2i40H70nfngBSL0QIB67az9NUwXMT6snBnASiLoC9s9hm+ybxeLoh
HLMVD6kmNFye7EDDahrRZZ2HswLiOMzcQ5HUqgrREM/fdNIkAVYWc/COgH8dieQoIjatly74Ujq9
Dvaut1jmFpIqo0I7c0iwYpxY3vc4c01Y77mXnmPXSrPIlZIuM7ytOgPSrwvkAalqjvkCsExR56oL
IHl1sBwCo4iqr87NXGYHFQd+sNFyYOl5wzKpq3S496jWdz2Nua/dsNzbxGvSQixi+aBPhQ1VS+s1
PRrwyYxhVY+kz5pQYr4KAhvBnRJt8AXnooSXCYYlORTDMqZb2bnYmvpULxfWbCIE9FnN3xNysJ9o
sauHAfJ7ETXjPDy4NITOHe/wZtJM+97oO/sLyqvqzIJtn0itJv0sF0mk1HxhcANuT7qp2vhOcbUE
y8kceGGhWJXLR1U2TPiltcoOzKV3nessrXq6yNzKZNN1FblAvQDnsbdL2/pB4TRLWG9+Nd9ZWE2e
nBRNFv+67p8Lo3KTPdoB6ymfctY7T3eH9tTBJBVbUXXDDXmXJOJqaDG/tGWA65PmInMgW++sg0Mx
z4FYixkjuyn1GqJjUThRD3F9Td9EEnnTM10ftv7Yl69dXOg3Ise6sKks6Y6IBuaaGiIgFVj3Svna
4Qu4kSZ2HOL/FpohidM/9IsN9sS3HDN0ZO9lIIMTFhodW1mYlmbXhSaKlBuuujvFKQqOg9vqihzt
VPbf+xJnVUQobcJ8CCSZd2jmgTafkJaXhj7eiT5M9ZQF210MrQ/zoVIXWrztEoKld7FWOkb7AWnB
KUKvBkLQpygrQlt13+BClgcgf943SfYk2ZtT7GtQc+h1hexMC4cqWF7IP/XkFUQ5edZ6Pn7RshKA
mz73+WU0midfdY4JJT0jvwOxrnMGpJ1v82rMZZRW9Qc9GYSi5LK+LHXTHEVXcM9H6cprTkPAERGy
YUckgpU1Jcd0Xrp+Me8QtHS3eQZRckPguWZwgMrJ4Mu7DoWSLARBIDr2/F3imKv6sqKPU+BsYfTi
o7XT4Oc/kUGefpcl2pMwHlXZbBu5spaypebRA/XWRQsS0I5VWaKk63rbDQEzw/6PzbwKRynj57ET
MICtVOwF2RubtitJgKtmYp/ndE9BCpKuQMAn8rze2TPzIF9fUEkVE7JKGnfNhtxEe6v3HksgxMr+
C5qMAsPpMIXs+6wnxKGYK6woPgxJ2V41aEkfCS5DoTTEVWQZ9oT+xi3LsBd6956IFY+5pKkFbRdP
Q4x4r2iW1zR2v49ZjAHB1ZNDH5sjMr8ZGNLGnknzDCRoOSj0DNTIAkqX/QwWaN5qMIxfQHlN+pe0
azRyoCfLubVG1z8uJDiKrSUQHh2SoSWEUwUS5qAM6uK9TZypCxcWiEjZDZAt108x7LpN0DL4y8Eu
sQccJ0KH7psgU8/xMHUgHUtT7fucKlNL6/OI1VXbdEOezuC9Kx9QKBZSvNlmoB59TGyMJDu+NCaj
6t0jRfrFzArbiUjW1b4LW0NO45su//bkiztWIB2frm4xOSyKpkd+pwJ80EZCnrRnBbdFXosHWCFO
sQfEWRILN9fdm0uiLWZ8ZgJGRIE2v/r+1H6TzEQJ4xvqLjjz4lEYZnXafA1c2T86xmiRhWqZt9Vk
9DgKfAKqrVYic4EaNbPPQsQLoeQFewLvpwNPj0pX6pz8sNEkZYdmyYIzcXUVGXPwEUlXEcoPWHGx
rEQ5iRcbGkIpw5rKTnAOeskLjE2XiG+FPq2U9ApxX1tEm1OyGV8Dv5cnA5Mw8nECXTc4KSjBxiGh
HqgWXKylbsUAqeaZmMpg7q/m2BULTOu51TAbx3rAnMWuvrNIkNiolHcpfT23IoDF9ZbfTG9CDLJT
OA5GWkRTVscx9MbmGfcr5mbJhCbLiNodW8s4Gej+NsSM2IwXpdqyqpI+7mkm0t41MRQZUM5IKcG2
+pQnZfCRBO1KhwUp+j5JJ78SLXzajZehGN+MvTDeLZm10aSTcZJphblrZ86NoAbaLRlDZxHjKuuW
AjaolZY3Vr7Ut43n5maIXdMNgx7vx4Zo1qMSJHI5LJJfg1L3yAkFKJAV6fKOWaUqN62/ZrMGdf7e
mg2au6lMHmRlFC9mXOkPmUo4/wEA6K5HAPtqbxp1jxjQMwdA3j7sAWhVAN/RaomzyWuxnSo1+Bss
Tai257CuH2ZrQdtJ/vh8F6BXCRtQbWMkSVE7Y5Utq1BOQ/ncp1Z6mBaKi0i45ZKCv+rTD5i2FIsN
+ZCd41V7Ui4XSBVVnZ6TIZC3jNHTY8kNeAycEetOXHVXicVlUBkZBaULDNVBseHOyzw+mko7udzQ
mOPXq5ez2k6BnTx0zfL0S/vj9o+W66804b823OkoBCRxY5cgg47pkLu2NX4dmPgWPyzssWWPoDi/
a9UygCN1iQgh0uxE6q23Z/Ce/kO3dO3u/rv7u34ort+V7YzmxjMN63O7nUDFJfaKiVlnUl5RZQy3
hO82kcXIAXgZqDCOZAQTKdV9//3l/rXL/ccn0zYxdLRDIIzsT7O/1nEUvnCACIRXWJQ6nj1id3Y1
5BZWQWZLENcfPz/xv1tx/9CKM+CZ8Ov+5624Q1Z9/ZZ+Lf/Hrfj68b1Pf23K/fmX/3QcBf8Cbwad
Bx2Q/Wfr7U/mlIMXCQsSIl/LRjbwS1POsv5lOo4BEcgFIY5bnCfhz6YcZiTL81bmD5NCutj8X/8F
y5FpfX6m6IQDxETYBl0IHrf9qRtueiAGYBj4exZc8FxeP3ebPqC4bgHHfONQhcRVT4NnCi9/767K
JzQeQ+SpPD6abmd+IP2uDwiVzaiB0COroNrb1ZC/laLwds3itljyh6L71g2ou4K+4xip5uRaw218
7weptmsk0aMbA+vOB9nS835Ke+8el3qmtnj27G9x2VT2prbddDdq1W4O5CVjVHq2qckwe7jDsVuS
I/0O0llQk+yyNrjRJYbxNkjki5t0wUehucgfUhB/e6HFckdiqeWHZV5OH0lmx2/SieVp6XMzctxp
2C99kx4cO5j3swmyu586GSVmeQnmzL8Bs6O2s5k3hybl3N7NErl+ZyOhh/hyqyASboN8Iji7stx5
H5c14/mFWNKncWma74SBu5dB1+CU+/KR5JwAElLv31pexyDddMaMX7VhI/WzpqeTPwiSmuO0R4w8
V/m4Z6mfQkyqxUuPVZ+6bxpOdWES31CNl7jIsqssdZE4eX7/UILrPBIT6YUa7kVkUIWXvRPwoH0x
4wTsQNbbV4nfx+8tFFcozZypfozo8y4VMvgXxrXVhRvOdToDvYCuJrpZt68VFrI68nw4NMABsC3p
/o/JxhKN9h9ZTYn7HFkS6i6B1ha7POXHUvosihalOQ+8zQ+l1Q92ZeZAMPC9pr7UX8YESybFZ3dg
g2miVhbGatXqD61JsJ+yAi49QTaCl9jZjKMzwrFVVn52tPjZx5YREbFTPdp6ObCjo3weltR6nfDt
HKTpU1rYXnWTlZyTQ7HmNLoULghIVBV5cb9VpEHQ5wOIT+P5O0CKmHFU3TrXhjHmR4kwipuuX7WD
Xl2pZgk+nNZOnqbRoAGNk/d5nszy5FMYP6q67hCMT0GHS0qToWp18w5HHNGfWqDZmKxtusK2kO1H
b/c3gS200JBJS987N68Xa652uXIngE2lhO1j8tRmelA+lUhKu2hyaZ5rFb9ZkBtQmMmTfluctDkT
Itfe47Pwzgvm2N2sdCKjJ6ghdr9xcQ/sWzRUz5zJOYlWGCmEBlRJzHmknCLdT4jpnwx/Dq7pFCxD
6MAr2eqxwhLVpXlyPTR6cmstho2jz1rhCdh7E8hGKGp6S2GGjvUZnm5OcnLl1N/InukD7Lhah45h
zSOc8NNOomDw33zrjelEQmAe0u+LTH3QdqJRZFcgC/Lxy4ckHzzSA4nQZ5jHFrBFEZqpq/3DFv5J
kIDylpWTQYluGQ4plrb/qXCIaYippmc5QJMHvn6Ejo1iryXui8exbq+whRBQVplbeCQv5VRa6bbp
hLgmiQjPcUK885l+hvpB4JeM6rQuz8FI+mlI3ntx1SRW/dJ0mMB7T2UW5ufUrrYDJ6B4g6uguIfL
yvtc/Hy3SSuz7GPNe0HJsK4LyplRj6rRAgIsba14+2Wb+ruSaYXM/aV+MSDrMGlCVENFwebzacWf
tQElcZHoe8NJwDVUjDUL60HzpzdGSPnGaEgqdbyku/KE9GiFcY93PtHkPA2iRRSqJY4wCJ+k/0S5
Rz5bbjoqEnk5fsddkDymFcEuXqcONm4B2nr0k00p3vyeKEIgqnsIvSdkbH6IKvtbh/g25Nmqbifp
iyMm2y4q51KeAqNPT2ZXVYT8FWO3LURhHWsyTtxQL/Rhy+9ohjG9+Wh0xwzR6VTdSk8Fbw1Yp7d5
1Medcsv63aR1cu0kQNBKcuZ30JurfTMo7wXRRHx0K2J85yob7/lPbycWmb3k0MRPhJ8vEWQgH4Ky
6+yVbJd94yp4E76aj0kKNgrW9hDvksFMHuZSy8eNIkUq5GsrTKtFuisYq+2FctxdwSZLL7SQuNBZ
I7eij8XzgMYrSqygfcYWEkQdtpgf5CORaDAQgkDwH8kWrZOfMfpwyqBr4Dxrg2PeBIuvPVi9Mg8A
SOhPLuCpv3d5Mz27oL6eHQ/xC7x5cesXDlGVS4Uow7DTq7jTxQG365FQ0Ggg0DbyGkEkm99Pw8aT
BqZKpdTdpKrielS17IilIBkytTlclbOcIoyj4kGaJUdIc0Go3BjmOyeM+LGJ7SZA2vmE+kZxIl8c
tWyGfqneKg7HFxqXw9UihnTPiGs614nvXlU+kDnMFhmBFjPuJkFvcUcNP8ebpPLTUBdje+W1DHXw
nrV3rqc8ACQGGR5OBRICxVi9FULJbQCy6lYCor64IAYjZmjMfhKrPU2uF9wR8GMeyy6mXPGOmltC
2atvZjN9AEy2AXVcIQmcL1Pvavvc9xQp9R6mPpaqfl2zEpfVK17XMSsx0rtq0bQf/rrCjetaV4oA
soQgthVKxgaggbNffi6M8uciyUphR3JdOcW6hvoiZZ0B3L+wEKRE4Znregtqq36a1jVYmCiYa9Ww
5rZmN7+Qvukzy5hZ0Y2mux+9rjkvuiHfmBnpUbPK3wpNmLvq58aQr3uEt+4WRmkw2i/WPaRL0JYf
PEyFCFx/bkF60GKrDrR5wG9qdN4jciDnpm9LOybMgX0Nn6U1cAw0CmfPWFKcNM6iu37dJ6XIlwim
EDto3Sb+u2pzh62CZxpxppm1Z6ZnI2voUBFcGBNbEKc+TBuOmGzpiw7gJZnXyIoaCdiO+ZAnNkvP
LfJ+Vg0goEGVUEksa0mBAJLiAiJZHtbSc6J0rTt0ysc4SLvQrVZmU1wSnBprcjoTdt1GAEGmY+xA
ARzqqoJo1abRCF7mmEtpDhv44XZkjAGA7KmR0+oOKi6O2edHa2iGS55UJgm3rn3NDM+/r2dCcTai
T0mfTUXwHQuFeYsy2fk2lnK8zfo5e9LAET3ENCJ6Uo2ld4Qgp6FxFhqtRSx+GJQCBcOOQd21q1ny
ILSuuFDTgUdStgm/gx3KuSUbNIV93VakG49rG4E59vskxhfdbdsoAOyBGdLSnR2ZuMbepzf86CVc
OCgj8yi0NsFFCkzvkfkjY8YWue+Wtoh26yyNdfTcyX6o8sa9nQLfwZDA1oVXqXlsG5lk8IVEebS0
LB+iKkvrGtkk6tfEaEkuDKa8v7htjf59VMGBwlJ/n4JFfrOauuU3hhMHoIoXbafUAgvPxSHZIark
Z5xxPe9Jd+EtLokoOEEUwqMofO0UdKNCrTpNp9zDtAnGRJD71rkJVERNfzUm/3ahW/nIBBDMDBKb
PV0g4rcWg2QgherhLp3N4g0JWRwt4EvpNolqeE/wH761clin3Xa5DZoi3vNH3vVMxNuV2INkqnbp
mQQ8/OSwlmzlenandUh4aqtsejJZqQLp07n2bcZlxLSjQscFt9W0IOzz5buO3pNwIkI2gKhlJJi2
8PV2gOm7rWOZ+kvTF/ZpnHt5cSxmnInBYF1lBZCR3FuOnpkWXEDNYJAuHj57zgAc1t1ToNs/oJq9
M9O09mxgNAsD4l2PnmBMvugYdjZ1TqYhbvF5z8pDYc1I4DmfGPMUTfVs2K35YneGPIyybL8ox8m/
xL0uvsNShY2oobAeh4V4Nv3Zckt3ba477tGxmwvtzBvCfQEM9RPpvtPkbgvayRWv1WoV0scpsPAc
N64OsMhuj747sO/GhXPCB2odlqHNt4Zw5tdM4znVmXydJ6UBKk/d+BvzZHufuH6uQo+ePr0zAo83
agLwM6X2hyRncR/YHfGUEMmuMlFl53amm3mWtdbcu3SpH5EC9BPpbdPwfSyAR4RW0ftXdVez2pAQ
mT/UraIXvihSVvOqqHaEULbY5LH/B3kbjLyJDnnEcN1d/lUyTMpstPGctuJkwuji/cH3NI1lfFTS
z8+1oYbQ50JnpPlauSX0EL2B26eHGlTjVgVlDxN3mTg4WSBnNDzBE7zxPSJHxlM6ea/Vz+hXLCjB
hUjoeee0VrOzDOm9pWTC74kfzRmoaIXcVIjX1YbMCZdjaJrDx2z6IyEmrxAdLoun/1g9b9vRiI2v
w6h5N1A+2B7bx77w6NMS69vfm4mYq70ix+cjt5gcWan/XA01RbVkb1/WkFw1CrX39a7HHWFNe30N
083AXjzTsO3gN65hu50YBUvSOEQJk8u71otJ5WUr4fku17Be2hPLI9nfbRsWOgp7w3OuYFjBmoBw
W96WdWNeYJYx7YoT9wJ2wLyTP/OA7Z/ZwLimtAdIw9atZdTqh128x/0S1YrJ4MpPTN0bzZ3tgyBY
a5Nq9aXCEcqYzI0EYc4eALB872ayYxUhzthZ42Yr52MGqZPvgp8ZyHBSSRuh1Rm1cCyGNSqZgvA8
mOO1o0sS/96a5X6mqWvag7HpajP/kTsJpi9yl33R6neeE3evPF9sXrgibhSg4XOZkt6sjyMecoYK
DNg19tl9wBv9uji9eiKs0HqN9cL54gIfCAe9t4/MQXPyGQmOdtcIadh7xkbGJalIa8B0nidH0iKx
pHqZt5GTTO+yvHXv5zWo2sFKTKBWQrziGmW95K7N4KxwyoOPkHdhP/WmF6yiCPHqxrDCZm3ZJ7ZT
0Y2du6295mYvWjA9EKZKpiYBH3sSc+zdRED7wW4cDrIplexckgUyZmTrUkOSTWj/DO4Wlh7fIsJq
j2SqTrukJKKxMI30SayZ4KM5OFiDZAebSwSHpCwRVjXZTDBorMsd3wHI0ho1PkI0e6HRv1I3piRB
cVXdJzWL6KZvtGWHSoduvZsCcDCKp1Kb21Nh95I4nZaCjP74DiEmZ35m94+gcPvtItsG+hVQ3w2G
/nZlMa3R6aWm3BDeFW9gUess2LgdmQRJ3iy+ShMOQcXfGIeKiUVcW89zzbBSA5DyrU1q65AWrBCx
VfURWVwzr0pWHTBO8p1rBkCGX+TxJgelx0C5U2HCWHaWBUgRI44vGCZXH927Q2MmL/RjsgoG0vgs
KiTWZgG5UzbpC6QGRqye0rels8wnOnyMJURwz7k8NINS8dtWU7Fxkd5fUnhxYaVGL6JPsGyzyUk5
JmUeZ3MmUufUdzx+gthgqNAYH4sccwqGvv6RxrBbXeVnR98iEbnTYoO8R4KJTjWxmx9m2RSvdWaL
ctMVZnxva2MANdotbzmrDGeUA/IIVI3OkuP21nOu2eOaSta+Vi6TSxNh3hmocM75r80PLXb9g46i
e2+Poruqrbo/EDUWtlMd6lOOQtS0gwWQRm7secOsp4Hj2u2gAfpDDkC6YEXvIwWZYxCoA5ClODem
c5r6A+OVeiPr4LWHGQpswr836zHAVO3lzy7xwEeSkcsrj/g+SRvSOeIVuk0sF8XH78/C5t8dhR30
khBGdDy5n2XrmEvMOMaiu9cYW22BMLrfRDKiQO6cGj1EgGYEkveUPCZuDalRgCQAhZe22h38pfkd
UUYrgN86xIMhdcOPvvYr6enQnEfkJw2MQUzjN/XPDqfuAnLe+BMNwrlx/VOGtrvdIDxwtD8cAf+v
u/b/H2VyejbNcJPjLw3s/03eme1GjmVZ9lfyA4oBDpcT0GigjaQNGk2mWS+EXHKRvJzn4et7UeFV
5a6MDO8E+q2eMiM9QzI3o5H3nL332vwXHfnlp4/af+1ef5hir15zuiQuXt9f01928n/5A37YZtmo
6w7sL81iKYLLlavkx4Yeb6xBwJttu+C/6Pjmf7hmDZtCTnacPzb3RL3/e0Gvg/K317U+dRHA/oX9
7yzoscj+sq5BtMRyCumLH/OLtiWoZ061tEOgHW0gKrx4ayNxarscVPIafrZbQPJUCmfXG7SJqx13
jFJ34OtTmiyv4AoqjKXObLLjnLLmgU1pf9W6zgwFAlMhd2kWXdsmzSGEJnjtuE3J9gazIE4aW+YO
fVSUYYL7omleaeiixZhLJiEsATDAvvw2cOOqDkNZikt2E8YZMZvxdYA/862KU5MMFT1SO0q+2Hcu
UFfIHA4tEQNO2dZLM6dRuTFKd2LFrnYqeV2ad+j3K0mJevUModnHCUx+VzpWcjNVNnkauTT1nWn3
+W3vwPS30h4zDZZQ61mfU/ZHk7ZWxA96ilEGUEa2BfMXQ642Y/UZf1VqbDjZNInnpp19gogKEtaU
xvAmTWU6cwGenLGJjU6Q/ouAFmf9Vjdl/6iGDWOaEucn1mQWkWrh7kXGNmhQp4IB1LLDCzoZEbJL
6rVR5iefw7XibAf8vxhH9D5+W7Eu8V7JuBkGFDgPHALTcTmvFMv4WHlQt2odLcQhcppYw6iqnxdK
sMgHs2YI4hYYp5eDtr9nuoEd1fd5d4wrV70CBk7iEDfQgjc3AgGZZglRUCyI472tWcpD7Sag0K3R
Vu+dXkOipYtpToNEydQjD2T9m9TGmnZrp/Y0ZGYkABVQN8MS8k9Z4bcL8ip0aTRIuwtZsLvDntIU
e1siHRwExLZmk2pFR3MsZySWMhiIojyc7tjgr1gNHjlYQ2gb9ewQRBF8UauFTlBkYE5doe+oam/d
axPWVR10Mw98z3QHwX5ZyUAYcBqb4GrMdSlokioU+gd4ln8vpBEKP85qM/RwU1RLgAiVaazXmXQ3
ndlUL1ig4ydVr8oNsKqpuM7NiZ033xqsCRZLn3FvgojqPN5Yhp8EuC3v39DzOg1+0UR0aY5PphbX
De++FT3lrRF+cGSDYttkevg9Da2OUu+6196qbFDzTdxY2rAz8nDhkprMrtzaDQSu45Dp2kXvxhyR
wyxzDvE4tm+41KZAaaq+8NUk559bvVUu4AKXaYAPyH0R5bLIYxcPVo9xOISPOs75fd1F4n02l+R5
AjyEI8tlmgFeiqNXY4uzlSoNAp7gpH2oYhvUCHsBmyI1xbKErxc15dxqmXaaN6CKIaKpc7X2/jnf
3aGxdMpCXS1w7IxGu2Hq7Bu1D9sDm9U18AkP4lbJ3Pab25jtI1walb65ZdliL+tKuNeT5WDodYcb
RRG4jnCfbhpzZF+1aPV2yLDIwZvlxEucBhNRrrvgWRRIRYFeUWoZKHnJNmKRQ/U4c7xjGEt5oHK6
ZkSD21MeCmYWHUepsWxMrkpK0NWxjPF+DEhBwPoCqy2HN3chJUCfLn4Hjy17d5ml2Xyy3CV2tmVY
ViGnsnna1ZFi7rCvqwe7SjFF6XyMz42bLu+d0kZWoMPJp4a7Uy57GISXoNDpQNZLYZ/GvEpuB1Qd
2uEGSzuoIzlhwSqXPPk4XLcYblePd4F4gaT5RIbJDgaAYVvkpPCuA8abeAaloJAIxmyGxFwl2KJU
OtYW4cgXcgrltcS7G7TYyen7wVPcY/Z/p5ujdDxKEUtth+PIsFGvVjJrn1Yxltcxqp4rsvLPdAXp
I/M5zQeeObFf4x7e3fPpTFSGEJi+NnCxekPW1fOZYk4jGw+mYAB4jixh2Sp96qns+tmyEdD7hnvb
uusE1rlNrcKjRW6r5YvGkeXJrMcRi2ndIADovaD6TVCtEuMal2ujAtCvZKfD8nhopSbTE/obR/IO
0PRxhRrXvqEUqn4eS/Lj/sDbvwQ2wAKOtdU8THs9GxFEGix/xnVVV81l9AmnGolwpD6MIveqqe3s
20S74keM29yvWjW5IwTAKO7CW0TPyFKH6mG6Vr2MZtggnDVG2Kiwk70oVEIVSllPZ2KooZvAl83O
+nGwyFQMeCu8DK72FbhBAhhaRCB+cMLpCCbCoCJ2pjR4wGF10Lqwh0YExAs2o2ZO29ow5IXRaMyL
etkZe7WC2jdM1w3u+AjcQ0urdNMOy8Usad3scypGqMQUakr0NZff7DotAjUzzsdp9TXLrOffKnmF
N1Vpt4/QOsYzfIkqFs+5o+uvTVUGgnIk9hphKj/ja2OWj6DK2LaIrt3jH9h1bYbVdsaBAyQORodF
AbBMaxfTVOFmZ7Ex0sqqSSySlHKFa5/FAtuRv4Gya7QTe6obXSvdjaMOy3vG04AHddLdZUUGCX0p
J29mJekJPEonkNMD430G1SPqjDPKzV/tZgSc3LsZ+Toj2utd294bk2nsESXonYgz4PSEc8T3OnHD
wSNE4R57TTO2KfyHCXKhU51pcLACa076fehqSw0zE+uTPyaSIkCj7i6KqFR9dwjTy8zkRh5IfGvV
Bs5TiUXa0QBjd9iWaNscFA0z4AygbknqdPUblicdBwEYUAQdxwEyDv9ZnPfxCkxO4CA8uVxnq+3f
ebPmUC/A04j6WuQZu+Fctfey6wrNExU6sY47+d3lgvHDVitgo0ADq7MlEUGekkdVza66VwsCe0Q4
losSSuFTHqd2vhlBloMRsSLmI+TIqyJ1KW5IGM+DZoVIW01XvXSNaxICqLu7Wm/bt4nt7JFV3HQJ
P392POSv6Ko1WzswiMTsRlNN2o2SVSzxF6hEL/liSPjqfTbdW4KpcGMix38P4zq+zkPFuJB9heDB
4p7inrHqNB6gZd8/D2K2A3uonVtFGCz1azWMnm1WP6x4k2F6UaxYeUl70aykaDk9VK60drFTsaxS
LePMncb0g9fbHO2onb+xNmZvulQzluspaVhy0g3e3bnzmNd0/owwuA0QcfrGMucZ7nnjbO2165dw
wZoLKPJX4LwcNaqW0lV0pXDEwtuQEvD02oh2fFSEH6LVN06qs7lJkAhrji8W69duybhT4Y5k6Vv1
ccM2Wip9ueuRXsND1YCghlw7WdRxaLF21VaVeNTtcWDP1qoYg5Mhx906NQ7zK9xn5zyJ7CXHWDe1
0MhGl84Xh+gTq1K9tpDA5rF5HnHoSb9JYgxwWNDCy4TOLyp1Ois+cIW4OKX1pHuNMGLom5HE3ClF
3YGy6/SC1XFO2F1nFfwgiNqcMAG3zJ3MQyc5C9cfAK57CnVh5wlCxbU29er3RKMBFeZ8W+gBz10k
EJSgDBQFCySUSdAQFAFxJNjgT4zpW0jgZkMOYoQ5OmY+hFsqLMXeBj1QgrUHOcPjrXDgk/KoGC71
pK1Clmc5i53JLe2dpXXOCVABhM4FiWPZlJjvP6gUpja9cBXtHuV/fk0cRX13nKzv9+W48CRPm6br
OaxKhIa6r+lUyaSsgqztYi8WWfShw606AXKQdJtXWrLljMk+mvbXYEGovOmdgt57u+EWRf0RTSWc
2iT4X00PoNY43Kf61EGHaMNXd6z1k8oumbyBFruK1wDBzYKpsti+hFGmfGQ9He7I2w3dJvzFN8tQ
l1u6i9nNg2ZuNoLnMsmGCZhpLdXyFbgoCpCEcxiEgzVt+KfpWKpZhe+yKkdSY1UTwvBrGjTpvI6P
YZaKg5E60XWq4vHfsHKxkQwHfaWNGiONkzY/EntqAsB4ozVG9YD0A+qhdsPso0QnPJEpxnea4fn2
M7pVfEUqC1mSiQ8ZR8UeY1YXWKFBkWWocgLczFGj+lHRQUxaVK7FKknNjQljHSCM0pyvKGcO+Nqy
sALU3I9Z2HitQgXG16UmE+UOehE/xYkB8kc2NSc82ulA2HVGH56VXNNv89rmxFlFi1hdrtqEQePt
ubMKFjhj0grbCzKGSgeJN9S23Nqr1hE11ChYnwII/NPlICQmZ0VFH3FLZdj0q2bCixZnGJ1VgLko
KrQRFNv0U2YxOyJ09kj/y8Yd6syjoI2CDpn2p1L09Kvln/JN+KnkrJqOrS5ZoH0KPabjmufqqv5w
ggsDHUGIc6q7U/lOYs5HLRKuG73oq4I0f4pJSqLBj1oVpqgt7ZvoU3ZiOpBn46pFLUqONrzqU9OE
ZyCm6EVTs/jGXFWsQafBZBNaJu6WVeUSVRadExRLed/RwJw4c2O601HGylTVH+uGQBu7VPQVTui5
sY1VFUHNBviEuEYjypu7Km7mqr0lHEuD9FOQoy0PbW4wGI5ph+bs+ineRdh+D+WnpEdkrbwrcSds
OcJZR5jE4lb8KQW2yhHmDX1FFIbNm2gVDYGQoURw59UP1ioq2qu8yFcvfI4tHWOwE8J3ctyICE77
qU5mhZpfFatkaYSxdRw+dczacdA0DUtFUF2FzniVPNG5YS6FhZTXTVZHs2+queLjTae8PY/m1gd/
2N3OOkS0fpVUXUwlb3x3taP2Kbiu0iukLFRYS58x7yuj0B71VarNtFQesOvLS1tVqTNSV1E377hf
JT+UXkRf2o5WGDBCMGlOaG6rOKxXcBNCckLnyiodpzY/ZAPBtebIGpVWYGZG/9jwqIv5bXW2xTjD
z1S77DbUM+eui3tl7WqpiKNW8WhtSfVVXmzo02VJDbfmrScXk3xbXNxpuSYJjw7yWAr9w2YY5Klc
p23rT73SUe89Ycbi8RlAE3KKUzYJuMo8lBFilppOjn4ou3dwZbP3HwznGS3qRrY3ZpMTDQm9yVct
QlobYiHm9cIjpUf9lmr7P36JuHps2a79a1PvxWtKvv59/P69+sXP++e/98PPK0A7GjT82ZZBmP3X
bSHXhEpcniXej/j9j3Whpv1hq2TsaQhgm+xagpfxw8/rUOGprdh/jBq2Tn7/3wrZfzG2rW549C4b
xoZl6Q7ciC/mdJMcdEw3LE7DMT9z83bHIzq7iPLmpWN1v2HTCGmcsVc2Pd+NaHV6qQ84F9WLsh3o
sJbPPUAtkhurD3fo9xw9j5LRiQp7baXCK4lfU23hNWb21DmMXKqbPtEgyUF8Xk/+Ostuoklg5zx9
lNc/fRp/4V371av8+ZdzDCx7K0CAAIP48peT3G67ZS6FP+XS18weiv1H0VRH1bL/vPj/JXXj628S
fJImMJu1dFUT4mtfNAtPzR7wnvktZ+KEVlBJadrMtkOjU/fv/1LG6jX8JU8gLLbTqFuWYfIf65b5
5xDDbLH4446j+IU1vNlhbWOjLB67GVWqcbVDOJTsTq2BPrWaO5g99K2ncnPZYNGLoTyP3R7BbCcS
Wo+4qRdFfqmY+uKbZvMUKeN5admveuwLs7JwN5ffmimfPcbTZQOIj3tRRHwar/U2NNQzvHLtweDm
63UDTYFCTUY/DudXa1ie6zp5MQiwbrKUirC/fw+09ZP78h7wPFZN3bJMyyTi8Ot7EDIUDrOhuH7p
OLsY5VDLp9qr4o4qKswC5VOVW68KxyadhSboBYjHQ/6eKfFvEhafv+jXF0LAy9DhqhEVdKiu+vWF
zCS5ozxi/5R1mJm1up5J+dhPTtSuxVDZG/WG54KwLl7i86anc86cb4aQeLVRKRnkB/2Gusjb1aFB
C8JORPbrIqOXfKYiK/sdCk5f8x4/v1gSL7DfHR6ziBGwQ75IBIV0cBRA6A9UdUGzQwS01fEOyMNt
rViXVZfctT3RX9faL5O1S2r1gZqHZtMLvPDEYpoF86S20AOFsLxknMMtHMwV5Uf/5qfL63RpQARR
y1eJKMQXt60Z1baVJMDaaHa/pfOv3rLqHjHgTdej2YNFb3HLS3iGwuoEk8LyMtTL7Zw3AUjC37yY
r5GhL6/F+ZKhwVelgSekgioswJVDCk1dDegDizRH37W//XWf96QvnxGE8ZXKwidl61/dtraxwuKx
b/tGxziD1Zszdtf4fU4fxCxutSjTt86cl/5QKrFX53ZytOL5INT4xZ6RuiXFWkFE/h0BungKOWJE
YFJy2d4tSZaeY47OPLrnAKOayQ3ZxJ65hSS3sVw4XSv20qIUuNKKmvAwpEy91AIq+c4dl5YmpTDz
QIj6IqsVgJLEEjcVTKN9RytcgJrBujUnI6s3cEo7Yzn+/VXx6y0WPYuLAnSyZfGs0nBkf7koWAdm
bdnxQSyLCBYRbWV1NUnHT/PfAJ/+4mvCipnQDHxkfpFhfnlsmAsKQRHynTYkc/OQfi9MMmvCoZd2
cY3ed9v4ESXlVtTLoevnkzHrz6GTtyQJwpeGLVdhtu8M/ptCTfcoAHRRwZkps93fvyGfit6vl8qv
r3NVq3/C/6mhy3qzoi0zXKyLWRu3WH5o6ZD5U8gDegO4Erp9NZBiVuJ2k03FZTMxgTpV/RQtdL8w
aCtXMEvoQ55ImxsyGS6JJOa+hGGC5uGEu6i2xNliNekDZQulV9XdFVrNsBEsvfCaIC8B1CRs4/KL
LXWYfSQC+kFqoXMonumSrZOcUGTX7wpRPoJQfg3jNeBTjfML59MHfXHY+3Fy+MirAcIoOW6IvXV0
Tm3Psk3j7OHv37N/vog47ZiCUw+PaZKAX77Naedy3DAK14/MkJxCyk1w8BLD3oWVvv37X6X91e/i
zGGTnCevZWpfntPTykJt0SwZ9hbjrO+XR8IWxnnVzNEDtnKxyWqqUIr5so0+IhufRGngs9BdHrBj
Vzb+MmsWH4rZHDV3/s2LW3/3l0sH5ZpvLSkyvk1fj32ZHKgYJlfhyzw7m+kYMJXzpb7/zTvw9aSy
ptHIWbJe4ndo+ip6/3yBNnoa9XTER4HEpuxM9rSfTSC3oUlkKolLn2H+hBxRvaLO3aNa3ZitQXqs
xNIkij6ol7wiQ5AUMD+mI9up+CJTwLA0VJL/5kDxV6/UcgQPRS4LAm5fbi4dImE2mUnoO1bJXSXJ
t4PMN5itIH/CIaC23GbAC88dvMF//yb9KtdzW8MVoFsANW2Tp7L59WaD57hbyqgEWlLZD2CpuMUg
37rEQwv9RBmLl7D1/Ptfqf3V7yQXqlvC5QmL5+DXz8Ulay/s1CQWVIe7XAdggCF7OqsExG1obRc0
4r7FdOHWsXgFIv2qr2pNqHzroFV5sVKWV85UfEjbOGil7SXy7u9fn/inc4qjc5h2OeDaKA+c3H99
fZNSa/jWOgUyS+8DYqUDMtyG4BUwcKLQN+lCmo+LaJx0HHrxWb9YL23ZTNvOCp8b3NcbbHEnfRw+
ZEzEfVKhFlFfrKTJkbzdjnGcR1WJwa4q3yyet4HdR9shUtxDyR8vlRjPKL6g4g+z9jz19RZ/wvc5
V+/6WTxriDztXGyHJt0KgrwguSm4//t3wF6Pjb98PwEEMLaQGSasTNLyy7GySJKOaSO2fWqR7vTc
vFmccg8gA+pyBXKHtpiGPVV8WU0Rem7I/1JCRG/mrA26qD11zXgSgB88VSE3A5yADsOGBzwCr0Pl
iI2H2s/ddtxoRnMRtWtp58zNu6afGyFGWxM+1HuI0afA+RVzPYJG5ECZp7VMTy61yPDTDD85tWmD
pP5oVPGnU+H6HiPK+uy26aBP/IEXqqn5dZZNF5OUF2nGghEz6evQdb5i0NMsQct3nXVJpdauZgYJ
Jje1NxTTLFtRgK+ZDNBICvRAddWeuhxWt5bSxilaz5gstjyqhmuuehtpfi6zJ3uhEq77/puP4p8+
CYrlGdJtRjvcO1/vDD1FAwWwIc5julcve9PerzgsjPHlj5Pm/2gXlomAAxOQmDAPwT/ntH+9TvFf
35vXf7wW7/+4eo1em3/sX4fvWfKP/8P/4L/mr8XnH7GW+3nXYpNM+6df8WPzYvyhrysSbummqdq8
jP/yaal/cFdhfLR5OgO8crjB/Ni86OofHPnYr/AHvOx1vfKfmxf+iFM598w19bz+yH+vicNY77I/
f8dNoDqCA76hWUI37a9mQvTmUUbw9wJ6s/u5vHTvIMZsY8NDJksoZZUUjW7V9mTcFwRQqOGR922d
bJP8MaQzIFmNw4Mg3Ja/IImCqaZvANqUsrWdZjegyoRtfogdwgLYX6oIoFHy2I8vaEmBgglqoy63
zKDIivM1DJmtoZxVzseKP96TSx30q+idmCKjPmuMlPDmZdn0Xmh94PbxUlJMLFkTjXAARJ8N0NQr
9sv+DHAjo0k+X7U0C6/MJOQWfZj9Y7OVGhx5pMWrKSZhsHDyGb+pbnHfduoNVW4waJARNqYxVwEM
OZTity67tiCG4LXB8a3JFo4JXg5ERRoQaRk6alLeRtlyMIxmq846OOP8LFWZbyz6lydNeuhz12AV
EVgjJigQ3JZUj5nGRqCC0aUY5XezF4VX1OJZlcqOjylgeRKUpFVlOG4FXbkzLPymI8xmNX6WtpdG
0h07y7jCXfKW2iRlSl7rOM8mQ5P+MCXz/Wph1nM3iAQkH0ojtE1ssQWx8NFsojg5RnmFRYK5adWq
rurV8D39ZoJhA/H12uJLAalbZTnxOTl9eYKmg9pOSam4wbTk9w3tDp4Q7XEazD2raGhoKqlJ2zrr
0mKX0fmXTztWTecYknt/Vg0icS3YM2h0ByvJ9qlCSL4fKUimMr4P8ecP5XaazFtDmFCPJCqUkYDe
Old7sSPyea7NW408HJv/TZUsNybwTMceg0Zzrzo+wmpOPkRjnsz0WeFtXmdUQh3bSKZbcnNe03Q8
idATZXtB6amvTyU1Hcq+gvTYmM12MMRxVt0LS0SX07xqhPmOiNedrEKPS3K3uGdCe7GwcMmlPwMg
dgXtke6xMqo3to2Hw+WqTHmCMxpdOMUlqN4dQSyGV+dbTm1Hlqn7aGSyRzFSqZZbLpYJwpYTvs6V
uS0L3Hj8wE3/qZ1r8xm3i0d84VeyuNMb+h1CsW+18a6YXhZpTucVeHHWgZoNn8voN0qcPVHuFsSV
trMkl8hoia1muTxTmnd14jUOtNpHcx9CKS2JpyCondcjtkpr+U2095/szOutk+2KAShYV1XoXFxF
Pw2QS0mutxlh/Fpl+j1S+seQty9stJcaoXoZmjPNXnsY0iv85NdstHCWTVdJAjAnbettV9sUYrsS
NlBFGsG9jvWce1d3op8TI3uXHiVzXWUWv7m68dh+ubppMGLyVbmBc/fX1K87mXZFXQ2aDIPaboj4
030dUmW+EAIkM7SCBAisZDGWFu6LVWTtlZybFLGnV93eTjhT6hg/la1gg2zqcfEq2+aajXQG1WRv
91Lf6FZ2NSfDLTfWHX7uYyL72wqpejE4NzX6e2ROtzlZ+dBwOp+QMgaDBFssHK4S65rDrXHQP1T8
IZuo6xRqTrEgQNTr4JqPp3gYjqPTn1dWSGbEKi5jFoJbth8vtb1o8AOHO0vLrodM0NNg0uyKQT4w
DaCKnfLhxkbmOYn1YSnZLayjpxzzVAP9bWtqHxWWmngiFF/wCqL60NApvYBw6mLzYcy1HdQvF2TQ
tzFWDqApNmU+BqzSInX01CHmnGg+FkznYxID3J6AG3SXqpIcWxTGDWACXzruXtEwtsd9/yib7p4K
ytXq8rSk9X2UTLDlisUfVtVX6RhdAfVHQM/r4taMx71K+Ljo5FuoVrcs5s963fBRejHfQoeT9CMW
6qGsxiPJPR8F7TbXyPH0ueX3qhu4muslkbmlj2bLR3+halkwDoAZpuQRH98ec1XQUflgYsYrL7pw
CdrZ3HYuJ2ObvWz7JJdbgIdemjh+3J+7FLQSl3hseAt3Myox5k5ti2th56RLEK+miMboPtIYFbaz
jr0qSD/J5zpfOCq3ktoHHZw2jeg4Uiy7e5S5fUOMH8hZTRFpg5vVrQh+mvKtzli9K/oHtbmHUHEf
BRpIqJTvTqRs13bcTVmGFwVfQxTr8tjV6V5fcGeW1S3tAKc0ksB659FfYGTW0DQ9Bd5ZqHS02ffb
Vo5+CAaKJ9MTO5u9MU37vI9d8i4J0bwuvzfi4oma14upMR6yzsFuaj2ZS3035X0HMrM/1KH9sejG
edjHVjC2PUFDLTqfSUNv+m6e/SZyIPeK5YJRfgP07BpcbrOzYTyKFmEcRO2pNObXlOJUCna6J0xp
sFnY3niJOx8b0d0Pi3M22AzShop/MT2kuvlg2RpkKo0ESyzvtNZ66vX+XJ2mb/m0sIwsMh8O714Z
AUGp6hGEIm0NIZE1GEYNRUHCPVm9Ak/zeWHpCDfLc8P4qh2SG4N4ETLnA17yjyVhgck7Nk3u7TQb
j3oNBb1bDo1Wnxhmh9T5IGj8MmGBjvRpq/XumxQUEeTwKSPTPFFgkqO6098jlKvGuaq0K9O4LvqT
HJJjoxBxNqqNZTCk64RVnHumRQ/Kn7ciMQqL3GGFtVt+T5N5R08MRaVPtns34sZLJgEg5AOzta/p
z310a0f5znKgxombFR4XteOp7HUuF4VCndPEcI719kKledeexabjGZVYWB7trQknIoUTh5+K58O1
Nr65ZuXltvHU9ZhbZr7Xqf7kuCDhyFZmN2qESMG98pEm8NTrE9OPkm9j227z/mOSdJVU7reJhqmt
O7TflMrag7vYp4n2PoyyI98Zo42z0JqpkdqYlBDjmN90bukcJBY1IJZu6ztR/pBQoRBM+izeiZxj
6VYcHxuqs4UWAkakuINDbPuL1O7cVHku5/mxTJe7ZZLHJexsb6gw3RsUfR7waGUBBkIWQBaqNZSB
t7JfdtRS7zHfrm7txlMdjlMAdbGe1SBa1CoYVTiZcnztCHz2WnOwxpA+XCLgi2V/y4fhzB3j787c
37kFNs+alhEp58gvW44mbpizTrXBWuhU+coBAyMu4krDWLgAE66Mj5RKYfJL9A6cCYG+VzaX6Vhx
9xWXcW1ezXO3c4xa90VoMEyLOcZxayo+gYnEx21OP6RwuyBbG37/I16wCtg9x7TKBASoSxUPbn+X
qPlTs0Sw0so45WoIT0asnfHeJEHInL6SaOdNadsdyb++h+jm8Ety6/Zz8P3/MI6uP+KtrGa2PaRH
//f/+vEj11TNL/8QfLYt3vTfm/n0vQVm+Z/gqfX/+f/6hz9yOr/jb6kMmfYKq/rX4+U6VGZMlz+P
jwDsf/x7f86MrsnMaMK2/yS+oC3+18zoGsR01o0ZYj5LGXVV0v9zZrT+oPAMUD76hFBZ9rKI/6HW
6+YfoCYtyG8EkVb81r8V7oG78uvJZ233MAyH3Zju0i0KiuvLic1pdRWaRM7jm8qrwn5lcexCDWjy
q1jMlLNnPa46JaeTAh8YtAVlV6tT9joJ074kxIw5scXrbJKmj3nUFgbwB4qu7yOR08fauDZ5EXL/
wBRizKJiuBka6gdH3cBIW/WcOOJU8aTbNHsnFs9yaD29tS7nlseiYyZBbBNb7Ybwpl/t2UVuBGrK
ydqQIZXpobNt2AazXDIvCKhj+k20bDekbtCWuoX90F0uQUPmXjdyXMuymWgBiXRyFuN2bAE46ZLy
RZy6EbRJ+tBrAkgY1Gy/ZzrwS3e8YV+55xN8HwE/jVV+kePHm1v9lOTmedngfNP7xOtL/cPUkulM
iUNQWw1y2w5qw23Ce3tNQVa5HRal2mG+uofwSPpyvOhN3ky3qzDAzvyVEyO9EkW3W8OUG5rHLw2S
DdBVy5wq7e6NAz/B4ofWNcDY15m7jeueiSTmSKl0D5hW/azuSQFyG80FSRqn+Ogg3PquJbcsC/zJ
WTnb8q52o0NcEZpt7BFfeVVtKGTAjL7IvTL3N4puDkEEDPu+TxbzYNg5llWdNEpaBnPV89bYdbQn
KxHfFnlzgkn8bW3K5X4iMqY33MASTtq1aTRgbU2OzTP4bgxritw5HdFi0PvmQXeX+c7Iy5OR1iRt
NCoOkAzi+VbNQkqI27ardp0io+vJooTTvIdpyG5fWsVxbBRovcNwiYX/OpYU8aXWY5TNV5lEgyLd
IMhvsnxs2oOCeV1doscxGptz6it5aFMg3LdXTIIfaUHaKaOkkTmG7RsR4Jka96DTAjENHFvBZtfk
tLxwWolMrB7nQWUsQaOacdg5DmGOmvR9q96H+YOeVaibMdayyVp/tzzUqsK8UKn3Ol0JnjMTEWFC
1NstkCY4w/Qx7OqQ4jxTexWhkkBXcT8y6V6u/ESI7/TB1Uejc7yhkH6Z4sJcYu15gNyEUa9MAtG7
zq1rFVtoeTU/d7apxs4b5RrcmHnUAFBuE1eLd4XhmG+VqMFENWnSeRxerWNWw6UxwnY+l6JxXs2m
jqlzLCAIU+9Kp0LTHzIZUpptRC7k8r5NLoDGqJDlI5pH7Sa6a23Qz1yqmDRKdX6eU/rIqA4tj7Fl
DAfGnuwlnUP7dhHJApA1TT0YHtZ5bJXuOfhji8F0HLedpkWHXlmmy3wQ+d1Cof0d6aj+TKpVfg8N
u93WA6rvpqnc5pWhy/ZruOlXYnTNS9cU1UU6OOON1hfGlakxk3dqgxmS1EJgR+W0naChn9eZlR6a
2MWi1pTxd0NMvdi0+dy8V/AaRmqredcXeAGX8BrGCzPMuvMMyInmUWepHsHjqqfRGGo2M4So8rSM
72c+rMvaNZsLLhX7wgB2f5FTKIJySWDdW/lnO7pQsytWvxEDazffSHjWxf6np8zxz43ez9BR41Oz
/+9NnwMuDJYjgzY3bsvEb7XOsz/N2SkBQrQ9oINOFGVXlWjK4SDbob2itqDw+5ASykpjZph1rfep
h6JTEl0oMCeOUaLr74lVKVsKnmu+BZIu2g6XkW9Gibq1qGDHDp1EzyRMUO6TMjKPVqHKc9hzV3Zo
iU1Su8uxskhQi9DJLuco44OqoZSH0N04Spt7EOIgpbXW3MSzedc0cUxocMyvKfUE8DKyirirxpGm
Vtecawo67KVmvi/4wcSXYrcCOltxxl3isPfahHziTs2jWAYDYaxnhVwcHrAhomli0Yp7uODOc6tH
Z222wul059Tbyq5Iuv/L3ZksR45kWfZX+gcQgkkxbHoB2EQz40wn6dxAODgxAwoo5q/vA1ZURLhn
VqRkS/WiaxnhTifMAKg+fe/ec6twtpyNJLEobDoXtKReoEEpq7Nm4YuYS4NGYG/dyak7J7K9j0BA
hbLW4fdN4qiRYRku0F+2CIHzwNJgh4CcnDFUlye12MMpamsc4rz+acrBcFDxbqwIpsx6MswhpdRB
MzrxezKI8VgNo73TYuKkwKyJq3rO6CD6RrFzkzy7kwvHEdnH5VW/jO6eipFHaXF5qhZ6FudRCvc8
9/SuUqH5l70ACJ/osXmOU6e5ol+i39VE6NwkOXPI0E+H7sS9ns6VdPAw6p1/aTj0C0iCSdQHYZJg
SGhiJz+A0lfh1EbTrl3flHl9Z7z17THX96hf36iCcdkxicgEz7VqupVN2gCartifEzVcyZGtsnJa
9dpgm6O75dtql69vsL++y2RWTg9gaiuE3bzpwmD3kQMoNwpXZ5euK8K8jM5J2kzNh6ZanwMMH966
hqTrarKs6wooP1qN61oj1lUHGIXcLOtKlK5rkq9J/SL3jBQvjsOSNXVt+dR6C8l+eemjCh/haXQ9
EZ9Mv16zwpxPMtLkUXdy9yYpfRZGn799ogBx3pk9gyLMnG43yNS54W9r1ygHnNAgfGebprgZQ8h4
2OWw5MLwVotPhYJ6h4/t+TnHaJry2bjDBDJliBQnpwyZbLXzobSTcriq3AwLpGgEITCuD4nE9Cfh
HwwCbLM1USSWT0wRsI/BrpeYQytcr4c6bof4TG+AQ2WtUqwBfecN/dYqqhmIC+4l4PQxyRYI5xMO
HT4463hbLmJhvxZi0TncOmXOa5DVe6/prGsLvM2lF0/idtJcY1f4FlbpzDbu1NICzbcWYND7xsEh
hUnU8MYwynBh1UBw3qClE0bi+UQgQoRZEg0jGfaOcKAvSmwHy+YztmdSRZakMlhb8Af7PGJGY5xp
fph3edfwvVTNLcp/qCFZNm51NUsY/NVBCU/fZW73rRvODvaqbRzpl4wz5aWNkyVgeBuF1KigxVpm
Gej3SwyZsx/AWAV4RZsnsGx3RI2dvUgoCbs5G9+NympCr7VCz5/Nm0hvxiuMBGboqPYtdd9QHfnH
2YxS1pvZ3Awd24BVN3aQufoeB+stk5u7rEY6NRXejRGNERMR1wkRs+oESdgunrbJORR1BHcxpWfo
aXewC9nzUsM6a+z/W32R76iMtPUeMQOYpQUFfLxhO/+2GDL9FPaIKadfYPcVnGWznI7ENNbdo4EE
apMZzfzp18aK34s5K4YKw1DGsDZ1/x/NCi/T9xav4Gf3dUb748z2dQ7787/+P+I6GCiy6VL/14e8
y9ePZH79X/+MsvwfP/o7w8H8DdE1QlpDN+kjMxz8YzZo/8ZIbhXg0RRnZsjU7s9jHkcuSitEE6CC
waD/ecwzwDs4pAMi40BWg5j732E4rNPGn895NpxNx8Eugw6CoyjhKj9XDKkBomfB77dbua72Rm/j
ZG8o0uM1LUN/LTrjyWtozYUYQ4ozZ8HROIJn6C48/I73lW2m1y17Lgb8kS4Mohv/Yak6H6BNje34
DI+0Tx5jZCdzoGm190gHmq63NM3NpFl6oHQyqmyiDV1RC9rHtP9lpT8uGU6iQFbjQypk+RAvVfVB
6JR13epldjCxgh2dZUku2rjsb8p8KhjZuQJgJ3t9SaslIZa2M+mQJGJmtFJ1ECkQpY+ser033/p9
NMwBgpOiPpptc1exJC93NJVg0znJUt5L3VuIIiDtjOZwXfrHxR7JJPRBwDg0z8xkuDBjuBABsfDy
gwSdfiYOp6JvZpV63J2xVPv+cYhM193OUPXa23nO5Yfd2nW6j/0pHx41I/Y/cLZOb4sBXfFgtn4D
i9W18jDORo2d0PfbYqM5sHlIKHWr8bhoYvjsIhcf8JSUzUuBEeqhdkxyFxAD3pr2DA80yy6oudch
q5ZIfV8XnvNGg8UeLixszOSbRy3tqyJxCEZLJokef2jrHZkhdhpGho2n3J/1B1vV6fe+sOOPvtHa
90lX7hUKUNyX5E51cJ/H2A5FKccTcqxuXyFP8YJctORqDY1thB2jONJQmgE7dipRMww56CIGs2er
0Mr8ZeHhuCNVhoisDhMqeeNeHmBmgqa0xD6RBBH9LGQS9MtlT6cS0ii+GatyAmHnprlH0OEeNeJ7
znaVv/clTwui8RxGaVkzwE7j7B6saxyAs80DveBzk+TphDjVmPvF9lS/6vUUBSrtrc+4KL0n6Mc8
5IYOxeklkS5IAAgKIa62NwuJUODHg3bIJsFGWkGg0rOlI3eSQuHkdOWdRNE4BVWbnIWYxe0qif7e
tkV6GY+pcrYF8eB7Sk3vvS1N6H25rhXPA85ghnSmAHLqQMeIkaKZZcq0r0rIEYcATlGQcIY9qsrS
9q4HrjaYi1idAXOQC11Vd3Ds9G1aGzZ67qwjmMXyHwrbHr63tksxIgeed1wWgjJnULm3W1MUcIAT
2vkqwAMnT71eJ2mYTgnEpCphZk2XQxvHC90F8hCM/QKLvC51ctgN08MGBr8ueVZjOqFYMmJoEjRb
h4nQYhRNmyRf8VREBlrJzs4ds0HANRrXihOQS8+4db5bFGi0a7zY1aI9oev2k81cQ7sStkIXkIo0
6XfYJg1C1wZlzuQUj5bYjfM065ts4kYHQM9FzrtuxtV0ZTdu3F+CIx0zws8yvbxPff7WXeKN+Xoo
x4Hw1PF0EUWB8R4dcqwB3E5H2O1hNUNlCOQCRLxLcI/rWSEuPOHHzT2F5eyBIun87MdISMh5gMTI
iy0kvSxOesUjFtrepPjM8h/F2PlExERRywQ6b4idisnGA7arL4xvlUekIaRQg/FguRSfGMeasHSs
Md5GmczVBU/mBEkqpY1k+K192w5pdVVVQnw42lSZB/wffnrsmX6/WX7RakQR5s0mSgTkhJQ/YpGY
zG+VYxvfGrukL6Hnhr3D4hkfhC4bNHR4n0NXpA2BOYYv8IILYO1EdC0JSIi5c1XYZ31Th3xEYrdS
qmD+0CLKpZhyfB4ZI6bvA67byyEX1RMahJkunRjnqx6b+JE0Dp/8EqRiW9YhgmYm5Y8HjLjj5eA3
/k2keQXNjizxd5nmTLdi6rHAJwgOy6FK7HDsREYeNYb5i6gxfc7LwHouqG7SU9cR/SQ0yDqgcq2n
kniWHXbUOVgq37noSSXpcFkKTq+TpsMAjVH1Wpo5ZfiItXjZxtTve33u/bOsOy0EeGflzBQg3yTk
p1xr+MlfdeZYLykKWbJHjPzCAWa209shumO3TL19Y7jqoTay6a3pUvvD9Bm2j2057gZR3fssS7Az
Gyr2bTLU96S9TRm1f0LoFpR5fe8ZbnyAJ0tqlRrEfgCDlobC7gYrFBkjmZ1XDEsbqML5HgPWaza9
qtQpd2amRZDpgipFnor0Wl9N/eWLS8YvswPiVhhwmr21Jd7R29BUqA9lOdR4b7PxSqjG4oBZd9j8
ZoMPjI/c+CHrVDv30Ro9Y1YY9c9zaS1yo9ql/tYUY+EG0VSyd1WDtC+k3Q+nPE9i5s04sUUwc2B7
ERBUbgeAH4Qp5v511eYm7mDHe2drbok1ixU9WkF00ThN8iinPD6Vxsq9aWYWKmFN7V2ZEk0Q0ID0
r7kW2Dwj9M+cmRwKB+Y1d6bbJBepmGW3iRx3hzTnh+OZxTdYZtl2jMq0u+LuVd91fO14WDrIyG2H
bdUEyZTW8mNwl+UmAUJ9ReUygdyoyufZIPS78bU0uahq2oqV0beczOqB980le9jQU+dWl0ScBmSu
zXSOtEXeg0zWjqZdty9E3fCAxXZPUGhUN6W3gXrHMNhzVPfmNIP9ojw53E4wU60LkVT5cz3GcXw9
2x2pzHpmV2/1qLr3yMK5HqipbrWjUhEN51nP/Awp6ODe+/ZMwI4lChdhVKclQSRwXARMFwH/8K+x
mOma6w6btk7Bv5oNf5gTXn5rZ8AFxUjmWMDNNR4nTVUdFGdvofmWgNeSFGboOcSU7jlSd5+i9lGn
5gP/rVtJ/ynGbriAHizPo9O6R6Gl8jav62EJlAuiaiOKIftWYETdJ02pTmkS6UisIviwLfxU3OEp
PUFcK3QLHcVmM/PlqNDNB65wSPjDFYfpH9qsVNlOkgL02pAyZG+biUkus7vovVOTa28VIqCYN9Ze
O5fTnOQ3BoD+EzcebIjJj1f4TzipBqWrquuGRvodhWlCGBPhF9B6vVjiACyQWfBvxnvTz+oXPycp
NRRWNe4mbUmZZed09jvRyO9V3ZGXmc5t9ZrPQpxsMDivVt8rGklY7ynwtOgU142xaq1EfuFySduY
NXMOM5rvT50XN++LTrs3sGp3De0Tg/aVL3aXEAN6bpWsHmofInnQtjV9HS8dUpyHqSLHc8GzYtpx
fcOqz9S7df3lQLEDhgXZd/wtYlLBujOyTCqTzgVUT2IXW+zwOSCvrCoRpM7Ni5dmbDWe5i/XBDMJ
mz7R1L92XS22bpLRGimbPL+2QEPYgYsiA9jIjLUQCjeu+q41euD1YHW/xUvnP2D4z72Qk8ByBY9B
P1T1RBAXKnr7mQnVkNznU+/f0Ja3ii0LjPfRUVt2wTTpc4Q0YLJvKhK/jgkHXprRWJ4PVm1ppPW6
CcPHmO/soKfkZIiuQ8oijNa9TZdMcwOvGs177JtyI524f0xo+N7jcfFuyGGhbktEo24LsxPDTvdh
nFKSaDoNgm5w5oD2h3M/OH56nQ2LQ5FHXh4zhiZ/L+PJuoPPA07LsZhKYGQXSNEGoX2w4mH/L5Sz
M2cv++HOdI0ohcQ3H4KEsSPmwLnT+9GBz5oxnEIDQw+gMRH24THxj7Sr3e+5Oyw3pd5qb8T6Zvf6
DL3jZKquPFXQjz5JuU7lGeB+HcERF+UHDebucRkn9F5LMZxcKfJ0gxubA7vukqJMa7VF/5BWrEIH
Mh+dA7Ac7ZsTz8UAhUKqPQS97lRiPw/dOdX1sBHS2hpzj06yAk93RJk5JiEMtvlp8aJuS44vkw93
dhl+J4DGYBbUkijQ3M03Wpy227GK09MUK3hBZf886UzBIiAXm4Woey7EbF6iGkgIWxO4+sTyLlLE
duxdsX2bjm63FUCRURTNRPvpLF50QZNHMze8wG5NaNRdzehY+Z+1i0DNsdqLKY5iyHVdsbPx+e3p
OBLEl87RD3pu6to2a9a/GSp00E6cDiHZ7QEzQY2hRAARNg0OMcd1fTNVIrloMql2APWqg6Fg6jax
27+PeSdvXW3GEUVTGDAYkNkHm71v53ijOowFPAXKGRXWfnKXVizNigEWxZwbsYMjIXWHOiLPgLgG
Bgv4T+NenXszZqcmcQSyz/jO6aHDhAACFWkfo/uhGnHCN5U+gveBoFZkifeSNSb9/apxuuPIAxJq
6F9PbQNQlV5mdvTJi3iFafexSI3aCrj9up1yGpOA2C6cuW2Ps2Yue45AuASShFNtihvt0k8B/yWu
sMKmAk0BCNTc0Ut0brtSZ7rWTFN7chpQeLpM5MWsySbbeKLVr8UCnZAECIf2VfTAY3+LlPE0TP2j
tYz2DdYM8CSiWEIjh5KBltAPuJ0DIMIYq16zZMllonVVHmZzXzzW1pQ86fRTgWWX0Lf8qvnmQDp4
TWU+3TiLaaaBDuHxckb/cHDM0b6oI8yhe31S8ET1bFq+47u7zqVqr/Nyhd6q7tDjDKAC7KGvIOnp
X6g6CYnOhXhWcz28yUVdlkD1TqrISqY9az5rWlrxm+lH+ltMucE8aqp3NGC9Swq95TTUvroi86O/
LxN+t+U1iE84Ku+aIgasbpNNfMHw17zCfzw+dC61+azyzgp6PD9IJz1x7BCEbSsETgFwMPVG1HdM
P9SdTsKPxvsoFgXnnE7fISBjd4Njh6jZcJ480hJRMIOlHDZDOyz6lmrkBleC22whGcEXqnsEHo3W
IBmlIVgRtmAirhCjwcCNTAfQaJ1mAVcqKZ42iQa9CkNo54LWn7wpNMyq4mTSIWXr2E0+WlMj1SIv
yumQLWmFwIiebtBbJjmvrpbJ+KbMpP4YAZSk/IZEWWeW+WImmnNNL9/4UOSEG0FuFyWqO+7DRc/p
ZueQCYKnb5nSx7yZRgEEmqijeylVVR2QjXpblI6d3HpFszwPiRRQ4ZvhYgIXyHlhsqobA8+Gc1gb
JK+x0AxgEguBz/YwkRRr2cQghF3VafeGmglyHJGWs7/Ie4Kwu1e4GywAyigPpkhf2qxOThaz32pb
9DE+85E+C+e6wtg4SFYfGnfuDqpaLPMynmZyoC3oU+3WVObi7plLWdrOmrQMyQAJpN4jdEhT30t2
TStQUbGWjASUo6lJxzbjiyBPcEHMrkO/ygZf/5T61F950K+f9Kl0XYZWVtTz19zsOa1SRKuxXwHb
JxM8paU1FUfNzazyYYy65b7qjME5lxO6llOdTCQNLslcbtNRG8OZrgT4Gve7Xzbot3E+opikOeey
IqVIJAENIFCoVfviV+xYu3GEA5kj1iIK19IepBd5Z81ZCLn1MwzTfT288Mql7RVLvmOfmr7MrpGN
2+9F1ntPdGZ0onFUTSUtxb7KC3kF4o8ItTZGKAkA1TpPTW/sDD8pPjJNatGhISGDNJWkzcFJLxbE
lNwvW0HFR8MgsKRJPosjR3Ji2lSOl3iY1Hos7GP6EUUDGMqbZGejdKr6ESNRPDKMVrWrAzHvkXmk
9sTrrog9RT+rl2DpFCexjMyQ2UOo4Q76hvRhFFo2NMpnK2rWUhnfFXuOKoqHnHagYA5f9NcVxxf+
bwmdO0xKHsyAfTp3jo0o7VdyoO2g7ROSQPNxzqlw2KIYjGsyYPAyHUdfOm/MZ+STUxre8wJKGYVe
mwCk8RiCIqCyPRWOlpoxQneUsIheWobZQ4FyQ+Yk1s+94nhHshZIANLIcRUkXvxiN7PcV07vXBVR
5dkcukpP23Vu7xIGxvjdof+h4X3FJe3YBWTClJrnOVMaeViG0zenrHGsmxLb1qEou5r0684q7iqN
wJIxspo2TFrOHpC7467gljiQpzJUxWhASl6SkpwNuR3KmkSjyCw1mGEjsZgSu30bMcADAbMH7GVP
SJej6fvgcMDik3jqsZ/dvoVbPjHqHV2Cc0OTcGyJMHGmgTbkVMl9kRgPHgOxgXmx51An5LF1ctTA
2CUWQ/ZqMrSgb5FOmrED7agTZj3YXXv0XWypWdVz6OLxdHBTx5MrDKQNU/yMCU3ty8p0jjRE3HQH
5Kva060tPqqmNC8BLILIK/IeVXup3Na5Tvu4AyJLqkQz6kMOrSkiMHvEu4ZnRHPhCKV2j/KTCXd1
7OYI9Svkf9jE/RD7D6j5OM0jG9TBXxnZG3S0jj6IaTbmmXUCqlCsG8TSwi4sjQtvIsB2H3vkaJ3G
cugXjIKT+96Kvv1WICvmMIbsB72iSUsvSDt3DuPEoffIWUDLt3nfYlWva8OKX5H6uCcMcvRKUz/z
rqAxkAgHhockBTeLUZiA94TnmFd2rG8YbC5uWFQGDRuyaBodSsEgrzDSrnDdOZ++O1GGSx1G23fe
pNY8t7re72MZq/4sdROFyagR/IsFTsUfkZFmyW4y+4xiL6q0BupTw7oyVVNRfgM3jP2azHmIYX3X
OCGqGmGTpOyPe9sh31czFYzwQerzmdRdxJ2cIrU4lO06VlyKusi2ZoIFw0TFL9E2N1XLkQmZZgMb
pYfwb0eX44QLI2y7bNk2eqaPwZiXtL9y3QeuwKqKHYQB9U4DH9mf51HABlizUBCMzJI+WtrqNJOU
67AOLInvXSEGo7ov2Nk4gjnYA6Mswy9B+GrrAA+NHcrTMaZZNNdccKxNKrpUfYXFsyiNTzKUvbvW
Y9SJetpxQKvV2G/0JMOFJJKCnEB4hW21VSybceB0jXYL/2rxHs10mYlgGlIOMFnXsLkYg7bjWG/j
NrGr+aWgIBPbLDXTO7q4BNJTuDabZHTTu7zw5gPJmsmwI3rFfZRpL0/LPMSPq9hJBZUnM+Q4xbPU
rGhbp66LfJxNZButYUFxg+Rt009R9cpAR/uoUzk/ZNDPIFityRcBU/BuPhVshW0weUV5xRly8g4E
StHLzgf/nWKufdMzr/y26BM6JOajasthLTlqBsMmAhzXT4TEwwKc5ZgsqoX9w9AaLP/RbO0mGgon
Wjp2mCFFu1GYoeC/lbVlMLoel4PFg3vXNaO8I5OENyBDJLFJzNi8bxvFmt0t8BVzqPfTCa2a3KHT
8OId6gZMAaWm6EQZUmHKjOzeSg8ej2/GazRY9C1Ji8iuaDYAPwTfC7FSrjwjJCXCYjyTdB4CFCIi
Lro5uU8aUszpJM6vOkINS0M+Sy4OIq0G7OI7A5mGk0BjPlOTTYK9LUuce8KJaFrUuSeDtHXiB/TE
3gO1aLyEup+4WqgzitIo25rmiYl//YlSk1rUaukDhJ7Syx+myrw89KysQP0w0exv+pSEcHMC4VGy
0FNRtk65/+8Sz/5VO/u//8fNZ00gV4xS/+v57E3/gXf8R9vOf5Xh/v5jf8xm18BBW7fh+4BPtDCv
/ZmAa1s6LnmybNHZrn/y+3DWcPBtmnAdmEMgtzVthLu/a3AN/bd1ksuRxqJu57kz/p3h7K+kAAfH
FINjnRV6rf28X7RcQjKH62XfbDVPfI/wOCoPc1kc9+wJI93EvFmTUXz3LCvr/S/f1D8Rkv0KlPj1
V6/i4L/IyMzMcPNcVxAP7XzVvFPQJdlykHn0NjbUUH//28z1k/ypWsM2aGIftDCpCvBQtmn+4iHM
ogFxDQsnKATSquImQn2TwZGePBNfpCL1Js6yPXe62RZF7219d3BDWuxiA4n8eahJhbeXdQXNb5ho
XIpsCq0ea1anR08NBgS+KsDeaZ2dDJJCtn9/9TDW/uHyYXx4HqGVPCs8UL8gHQA1sicx9dyKvMM7
D3CZ4K6OySb94RmQ9iLo/c3EH+XWdOP3WXpvR+LanNYNnUhXNtzmOUfrtTYXv2t2dU4se2/W+Vvs
soXTwLmAdYZqByh2YJZjxiaxLFCvST2uE/ZIb24u4sbUH6BXowOKivbAJHXDpsIp7nau9TBL0u0g
kjtbZId4Ht8obIJ8TKC6l5spGrowTvNbNGd3spiBzXzMrc1ocgpepnRa9u7szJvOKl2cuT61jIGl
yff6/sJMHDKI1Rp76PFhJqJt7Naw9mZhxg9Ort9SspK76/ObrWYoziaHtNes7Nx97WcTGLeuPXEQ
nQKbPgrwcEZgG9vo0+sZIXJgF2Nz0N2ctHc3mjakRGC31MYILvIqifUzdTMi/DsspaLGU7X3gtHa
haad1tcezFl0ZxIrUUWqw5RH/laMifkmxTL8kH2nHwfjNJrJeDUiCE7oHuJNIU6g3qHUX45Vz6/Q
QW+TMWnstMqVH2mafaTgGC9GdBuc29kSEVfcakq2QT0nGAOL76mXHBvb/xYP4OZcbo1Qc0ufih+Q
WZQexjLKNrC8m0vDAzrQ1w9uwf3++wfSZAH66XUi/AP3uGNB+3NNpPurHfwvb68f10ZDGWBs+6Ko
mIgTuVeFsukYK7Pbyj2AEOshTU1o1UmvvSSRMBgSrNVxlDb12XOtbwRbYcuMqtPY996PibCOews/
yl4RsRw6vtJRedf5k2r6/tKdIv3z6yP8NzhC/mdvaiv6ASzMX+73PwTIwCj4g1Bwlb7Xb+ALLtTq
NlF/3ef++Jd+d5tYv4Eg0n0HwRGAQhy4/7nT+eZvJt5cxD+wql3xpU/6z53O+o3/s2qNYLe4Ovvd
HzsdeyDpRGx/wA1Mnb/xb+10xi8iJA/SFj4XnC5cGcYT/rWfnlhF9rpTp1O7T8YSsJgo3yrp5Vug
LSpIGK2T1l58dk4qw8XP32oDdwmQXiNsBk5waU3rbmUwRzSrCN5NH4d6HsK/fMn/ZEc0fiHFrJeI
2opxBy+U72MG/vkS0fkI3cjjlrRD1M/agoM/TqBzzIl/HprmFQ3TlaP6DWELKsgd5lb/VxcASsrk
q3IxBv18AbTXpTfaBYiamAuwFjwJAOMo09Nom4B9hrUG9L33sbtSWgeZwXX8/SWs68ZftumvrwCs
nw6SAn2x5/yyzymbaVJRFuSykOkSoFt76BOGX82/WsC+Nsx//EUOv8Z2qbN+pQc6C33hea6bfVWD
QOnizt+5nXxm/urvaAVgGqL7Rz4B8O5hHJmKRDri7cm8FcShnaH/a9T8VvSqMgELYDJ1TCUGByCe
PpTlU3vRV/W8bwmH2WqSPghscXcryDWlWTR0W457nEB684ZBa8Hzxxc5N853YIAXequ8jZ020TGu
NG9Fks2siUtyOaPbHBluJSXkRcMjeGLCwT6p/NOwlnyrhuINsxTz+ja6wij9YyC2BznM09/fobVQ
+vmL45XApQ64jqKW9f/nZ8RdKr2I04a4PSuiUTzN37MI0pRNty6iO4/yIsaWjShr9/e/98sN9vMv
JoaKRhF7g/m1jPz8i3FzulL5HoYelZCS2xXZBYKlDvOyNImShi+cugtpCq0pTjgt5K5SMIpdr+KG
kqK4LZJ413uEswuXd8oyzHxDigy+cVSFe6wnZGBifIByrIGS/xfX/st2yWPNPu3hmeCpxo/3K+5P
R57O3C4p9uBYqk2jMRCOk1yG1uDfQU6utznJrDj8u/JKTt7FYBF9l8fHntyZICodDHLrAmRPu1qc
HRcGu6c4PfsaH5ohOhnEBUPEyVre//66//FeQ2TFJ8jJxcTa8itYrTNTDakKlz1qLQdMbPSQ5n0i
M9YvunWkHzZ954eaXZj/osD41Rq4fmEce4BHOsLQsZn8fLN7s4zGHm3iPhqUDAeMRwGCebX5+8/3
z37LCkjzPJ0Px4Lz82+pCkn7vimKfYK9Ch94kx8h2b/9/S/xfiWAfd19VFQmBzYDY6X5y6JWl63L
wHwo0JEUn5EbkU/oKLTzBDPSmbN5yX1tZG8BJbWtjCU/lqL4NGJ7uZXIUsSK846m2Q8NdC3QvoW2
TRZQBIXiIc+z0QxbwAbMJbwHzdHmHUDgKxQO7QVpKvRAJ9xzg4Fzj2A+bPKFbm69WjAwY30TxmSG
WF802kD8NZUI4ww8CkJyXxAvQnDVxm7IF5gXKnXwhl7AIBCRImLbgIGNv6t6DfOlL+2daarHCSgy
UwqOD1GXvQFzeBOZdVvKJTpGkmmfbWWfrdnXB7X6+uHlHLTJ18MecNGO1KvPNo68oK9ZcxsLvxvN
JB44g+e7ipWJlbp4cwaeQTuPv8FFI1yz8B/gNPMEdjnXbd1Wqa8dxmQwt8SuP5OV4IfEuvshylj1
JCcBpgYV6GZC9xbmOIg4OGT2q7HGQbUmk+tiTN8Uc7CN1TRmGBPfHaameKlaMwvjvoRhV48UD+nC
Rrw42tYtsk8j4UMPcedtypLrjbvuDlbgDydn9xwt8NMjQZ2Dx8I99lJtkbgZKA0XAjBb7dnVpcJd
zdgdHYDHGceKwh6p4o5XrNrnIn2D4lUFonHSkGOASZuSKWJpl2dRyPvM8B8aBZm/6cHMEIxFyryv
W2wsDLwKkoZIZm/vnJRZG5yeawqMfeRWb62uWoT/kt4rOoWtT2gMUWMslm2TOaFXgHdvis/KB4zE
DOBEQ/C0lPln4Vb+flLw62ObD6rGkuavdRlZPIFeNXgbjuBXeVSbKCXZA3LLzjfm2lKOJM85ulBt
O9NNXLECWDOH/FOLNZ5Y7izMClys9Zq024hHAEmcP2MPxL9NYCkYzU/GrTwECas1UGZvoyX1eXIV
fbucnbpYyjfUhMV1D14ldAbNu1dmsWOy/OZYen1IZp3ZdeQ+gLPnM1Kenp2sp7ZabwyVwZVySJPI
Dda0r2d3HnlsdOkz7MCXx+A8ffMiakYRW7eWV/j7bi7eSAbKgpwn3FjDm74e3HbhuonR2CFqqcje
dvaMXB7wiMxB0uj5f7wCJU+YYVi3qmvVRgwUn7Ytl8tq4mb16VptrGHbdYlZw0t4giyD2690XhfZ
oxE2zSE5jzr0J2PEOyI9HlpsJW9fF87lUsX0FSFb8Er3vs/nNnHzPvX+6O84kLJey4lXzU3kZe37
zTYduHfu7OfbpXEvDAdEIGmy8FYQpkJyGs71CH8bUlK2m7oIDz8LmKbWBcsV/Ayfg0cXBuZ6g0td
3JpF80zYGLSGKfvEx+NDT83evpaL3s0/u4ltzMP7SLJ3zC9QQA26gh1EOsjVWqODcTDyJXIYoB6i
AxtSJbvBIIwD3MnsXKCN2NCTgnoCxBaKAXFcZn3+2p18nadYj/kGoBdERzTQn2QMRzcIAoEmqjxM
HehkrSL2UUw4A2b/o2I2FVgmT25F0RUolX5jDsySp/HvDqy1uVPzhUxi35K51VFfrcvZDEOPDCfn
6mtR6gXLCwPY52zi2lLmcWZNMlpTIJ1z9WqfGrwqpIG/zcRV0Lhd/ckDN/frNJGs+6iTWtp23XYQ
/lx9fULmiJ/rK8Ho5HbdCjBr3HaSC/u6B5IQsBRmeqBXSKHy8ezFmQiNan1sUBIGkQnYuDbaZ6SB
xlm02WcuiW5pmY9vWp2H8Wul82wWEyaJD/UsWFGdRYNr6o/Xiikkalfe34w3cztqCz+FWO0ALyw6
YmanSaTx5HHgR4BUMUHKeA9JYZyOXysxQdAUYk5coGjBp8Yej6Zs8WhCSOgm/ITDlXjTTiE2oIrh
BvT/h70z6Y0bybbwL2KBM4PbnFNKTbYkS94Qkm1xnoIMTr/+fZHV3SjLhoXePLzFWzRQjSo7p2DE
jXvP+Q7jiV0KCmPHkCW9rkMzR1nScPx07AisYf56fa44OW+KKA4eVd+7s4i3R8Q3752IdlE+80Xq
FTYt/JdAee8gYjZMUPmpxppFJ0M2nqJhWZUDu48Y+GmckIJC/7pdJhm284QHCbs+tyCgSjF/YYsr
a3fef7HvN2s8zxWjbctZGSiFDuQ39pjd0lcaVg4NTFa1p3iAgiU/+T7v2kaNsc4ai2gmXQ4T1Vxs
1SjzKyMq5gczaWnkEZdOgDnFlTnlr+e1UvXlayaSt2rBwWhmMwcG0ZPIo82NPm2ikH0xB4iyIQUq
v5oCP9/4BoBkl7zFldsjI/PsVK0UVrcdKrKY31am12PKt+pZuj73gh2CIJJVm5oDb+7ba3bJ9jJ1
k/7ojhWyBY+wtMlJpg3pdOEuV/Be6jqEINIyQ6u7EfMf8nDzIJslfk2CCTmjY7npbrCaYdWLlNyF
gHFSOqVvdVs/RbLqsUW35TeDpMHPDn6DS7NCrRA3/eesauM995x0Y0eW9QQUgDTEcq6oiB3GOsja
N46zwDAr2p23cE2CaadLg2aoj9JLgluLRND1uMyI5UctLCcy8yj0BS5PdFbRIq8dK3F3zKKtCzOM
X5VRAMALGDsxbHbW9ogvKadBd7lIHqemYrPX17yagMRNgv12w/He7Tw6ezg+y/Y69YqcNiQ667Eu
kKm5pbkGy1evpgK7ytDQ4kpK5u2o/yN6r/JHtlCw9YNHOltbFVgjmn5rB+6xD9unIiwDRJ2koA+O
j57dQdWWC6fbN5aEmJi5ES/PUAmFa6TblvzdWvOfWpbaSeVdFMgysECPP/JeJgdoRtFmnCIk2Lb/
rQFSl8XzN0bt3CItkEaJQU5KLZhlG22PEQVKAKF4VUpX1KQx59a2yR0uJaA+dQ5wujIEFbg/htjd
UDzfGmO+NpischypXYzfZwse55sRJ1cGqAPM2jWLcHywzPFC+oVYibRs2MqNHw3xOJsALf/WxnrB
tNp48Xp23axFD9Qv7l2cI8nLpHmShpNvKsxLKLkUiVdYxw4tFsxNN2G5Evrms+SAMsyFbSlV6ZuF
3X6XaNkiTnmOwiqZH5yemEV+4WU9FpxAbuVHbyMypDXTtuKxapV76S7m07kvbljdE5YqSqq8lQjN
Q5ftDVoz6rJ+n9cUwcnULrsxp2IyucPlqwz9P+Nfnm/XyE8gIt7amM3BtDxQlOjC9qohiup8o0cB
w3bg8JgCGOg4ZKw7ZxKI8qoU7lPJuq31EuXCvHfH8TUclNjn1XCXCFZMhBgGeBQ66YWjQL/PQZh3
Ft2HfedbXAs5rVchZbayklcCEJ/MHMPI4Jl3HfAh5hJoS8ekmy4sizzU1AzUpgniW8Qsp2a2vnKB
bHfmgAK6M235QLzPc8aZRqDivrXn8AINurMixCS/ykbeDXHHYtWFPdW13k6XvlyucsWJN4i+2RHk
du+k+WszlycKjOmW9FpJFehcNZK6BsID6pHU594oUjxzIw37qfwc2uCG7WTZ9XbBZ2UiCmQhS25x
fzfPGObNTUWZvLXy4Fi4rLCmYDUo/DUUWHynZTHyPbuBQDRYycvYSMf7EncMKgyWGxFMsNDjGXkG
9JdZsK9FHXUObK/p2jAcW62I1WOT1sOOYWiovbt+4cNSY9rLgLYmzTA5yPpQxNY+MokGscIMfF3y
FnPaS8k5xLT5OnZ4n+cTvZ+4hOlyp9VrNWaZXEcuHOOYmoDLtb3NyKzfGrzhlavPzGqui3Klby3L
RIMIc36u4S9PdcnRM4xqvEFlUa9sz+THxl2471GgXMx0JrVHcLrJ/T7/1CpU36VpbY3YxIIeYIIp
uNEjBWRNyr6uTungUEa5zIaQl1inGGkwjg7WMKLb5WsJweC7TKdwTdcC7EYIvjIkTWutDFZTOCPH
KcaOv0WWb5gizNcyGqoTCY+v59XPfRM7YZZecFl9ownBpyr8TwLtvx/ad1huuOpFnFxZY/zQjSrY
a+1BAfi4gqNHYzPXZ2DM+lQ10wBk3npTiJs7ibGCwywkY8oysrVtJhAM2cZoRubbkonEGunWBVwE
/N9Ncznby7J1W15+LgT1qkuBlRr2TSEHUidcBj1GMlqbMOEYZrVzxIHLgHLi3p3P3nDiOU3c6P7P
F3/vd+0FIBk2WKbANwH7/txeGDJUZjHZ23uUuFzEHRq2yNOf2oamIFayZbcYVs6n4Fcmq3HZJXap
2GqaR6/FENvcmwKwx5hw0dVlhgpMmK9BcJ8P8a1pT8uacZlBYqxU6D5Mxi/jcOujcNjYoqcA7uOH
cyPzfEfCQfk97cvkzZ/ICPB6/85CtrQZScM72f48XfjNVJ4QVFHQDbooDbgDIR9MuS/lNvdrj9rL
AF59voSh44R0IRDyRfKy6tpw7ca6CkyIusRPx6wuFtExt2Di/fkrtX5tkTMRcBgUgMeiK3CGaf5j
7pQVaVLGPCnIerlywGGNLjpFR8K3KbrK3HtMdSuVz8f5r3jcLCLjP2hR/6YpJkKGGSgmmb7Tz/35
V2XG3Hqpnat9FiD9QwaaHHA5cQr5uPdzI0M65w8mUcOp80G7SjOe3/VeXa7vITkMDhsGvaSfX5on
m8llHqq9aFGge2zq+IcN61M6+uXGXZrmqzIBiUYmUdy1RwAbCZ6fw8bezxCEn/78U/w6T2H+x0yd
IMMgYHm/6wMrW6EEr8d87+pNQDcMUN1SQndTv5UeIn6ARB988/rjvesA0x9lBs54woTO9O7jOxXD
dpK/1b4DVbotWiyUbcw/WUV9P3VywA9kjJtqlMUhjYfy8OcP/JunmTkBbyAU/PqMsn7+8ku+VKev
DEhZgmIsp6FD/CWZ7n9+ld98rXSZbXKgBH3PX8ZUnKa2x5QM7pSVuqBYCHaVGaGzc3fdhcXz3CNP
+/MrWr/7YA6CEkF/G7tz8O6DoaKLKUvKfh+nWXcZ9TTM094FNdjQHLRGcZ9wfK6QQtDb82OolsVM
urNF5GXc6kTG9PvyXyab6I6pniP6nslipwn8bnGRJiXT0Gx4xvLsa91484+/i18ytjc1hNTrD74C
/ff9vLI87O1nVroGIgTvGsHKDgw/qvJuL9LgWiLA2FQGfogauR2pAxzA1uC/uEX20JjlsTCDB5n6
xmpIxytl5997MYJV8dLlQzbwb94WEi+Ppc6j7b8H5DkonOeYGOF9GQ70aQqKZ79lq8G/zZFJcqWq
21NCk+yL0zfNrqv5iYykpKVr1E+WnGhMUcfB6bVtpCkVunZg36PVYwHIsm9+d/B6aE2LSwnSB0en
c+6wtb2pOGlWZawydCUxnhA6NQH6hXVfMVvSU8fcN8kINgu45mUPmNzRd2sTei5S5BI7qVHy1dDK
0mO788GWLaY8/vkne6+IYYnoSbLnMlcOYVG9n+eG1jARy2Q2+5j8J9CoGJGDPsaXM2LJa4K2x56I
Zn7qS3SfA2pv/TFpreJhwoo8C+CAccRJBwYiv2hMZWw9kynRoOvmBR/eriOt/oqWBBEtgk5oXH64
n2kx2btlF0CWgcMIE4OhtOn8vKXQy2CflxSbFKX4AUJhbOipjasqkEBk0cImwN9J1ZBbKwPeitKF
RAuz+WBb/XXxwwoINZ9Do0JQGP38LspscRpcCu0edMOFPfLF2KyEtBr8D17I/nWnYXRogTlnwhvY
wfudhikIDuwC7S7ZqK9ZRt1jzfmya4O+eiuWjg5HQFcq1d3lFuXKCiEpbwbTLLnCQ7wZmwRLTvya
jsybgpL7Xs4VkO8339b6zlhxeae/De+H2bxT0IYzIu4uf154v/vRGOAxAIWb6SHcezeaqri52hYW
7H3SlRZsZzddyYpE57Kj6pxI7ts6o/qu70tzTvtJtcnbXIoPdqx36jm9+pFFME90bLj0vxwTWI26
oLGsZm+69Q8nnNs1XwMvVpDBPM4fvZr9a9kVBA6QGOa+jmUG4v3JWxN7bfp2w/ySVJW8qeeNHksu
oM/WoRV7NHApqBdtvbSFG9+US/1UT3V+5ZcU964ZvzbCmq8KQsYOAxdvDEE5N/OSm70RdcNV5owf
pGX+eo7yjpHKURD77OjvhQTSm4ISFFyzx7IHKbnD8W3gJ4ctxv2JVja6OLP4YGj5m4KfV2NFmCEV
que9f5IKSoexbm2MhxmNzbZ2XC7ik33KyEwH39TTT42rkhutOna0py5Dh0al7hnSbze2pV2bOCNp
IRA93G36fABA7DnWBa0VcN5Us43DFTPxuXY7Xv9kL9Rb555IZXFxshk/YwDRuxmwtkOhxy8ujNC7
nBvVGv00HPQlcPcxMbDrNHIeitZeVkQbCBzIvlgtDB12SaCL+WgM956eUBLbenfWBJ5nG3Xhmitm
bt/0TdhPe15uMplQRF8dA48c7q0R3TTL8M9P3G+3DaRmCHiYCSPffF8NCPK1pMu2Ec99cosRlaYA
15cdGNt+RWO55gzkkpuG9ittc7rZHj90NbY46fFHb8HEjRfBTI/ovNeXYL6P6ZySfuh2jbfpe/v5
PNp0GytE81PKC5AxzjUG14/mzb8WsIL9leIVxYlGNb3b72XsMoKVQbevAg5jNY3VBig3j4SbDJex
DMs1RLjy2RVRsIF6kn9wZmp077vzBi0xyjs0L2iNrPf6nlBM0Mmmqt6bBVO02pYTPjr6/aKgE+60
oftYNR48MSfJj1hbSMt1OSEnPApsyvyTl1cgJMygJKqZZcrZxUQpYADkz+5X01IX+Vw/GR3N1/P8
gdaGZdDnA0m3TUjmffIaPQ3waLJnNCUBK+oen84Oz5cmvZPt6D6ahYeOPjzJAaen50OPR0pP1z4O
3/gfQ4/CMH+4XVbsK4HAJg8YN36w3PSv8HMxSGKXsMi/RWdrer7+Fv9xxxyY1VWZtg+3DCnOA4LS
1SNhi4lQA1Fgu/TFuIrz5TiZJMUvGjEcpY8MD5rjeQyzmArhlAwJvxnNu0Lvb61/7+KfZC7ePFdM
9IlaZxYRmOW8//O7/3XfI2yLioLn3uSa+v6OpHrcziWNl70h3L0VMV/UW0U+cys+d6OKqPxg19MS
vZ++L1KJ2AccLmXkCXGwvzsQEwvbhsy5CdLablawNQISIziOz7OY7vzzKoZCA/sLSg5EI3hpmXP2
rQBtMKmtbGW+9RCzrJBqfLR5vD8oz2+O2DF0uZyAwXv2GKSTDFtqle/TpHVoDfIeiHBnCsC4rNDf
yp+//t+8nH7EUSo50I3tX46dvPE6BpH5fvT0qg3K02xQULkda4e740c34rNA/59rFeWty46CohMh
G9Fq79ZqIgemjbCC9kmSeCcAnC57oQw2kxvuGDWFCf4nKpK0wrSHBcE7pB4kQcsyqmu3doMvI6js
24yoa99RN50vJpyiPT6lcWi3I8/ohu5Kd1kIckbCcYbL31fwLp0sRK1SMt1c+moHG4Rm/CB9Pbu+
S2mHHzOFpJnIm3Zj1DYRnEI0B+4wbrI2alKV3dgDTOBAOJuIzKEj2W5l3Lqk98XOBVoOuPIqv8G6
C/8LOdg+sB2+Q1AgJ781MixYeXxTcU/eLYMxbIpKiI1K+BeJbbxaWm1nja26mynUdmWBHDpIuKlF
oHVpG3o2HUGM08C3Iga/eelcIFD10IHlpL/4ZQveuHEBImUSCEsJEYouWeTsnaAVhzDlPRhNFNPf
/Yz79IYMJHtj0B2+FL6x0P5ZrK9qxI/eE0n4wYP2PmOLAF1BEWYjomVXMrmv/7wxAY6SoVFwyqOg
EIfzvccpUI1Unclkm1oqs0vzpmlhqUTN6ILThB2KaZgfsM7djZA9DItMUdcHMgBoUyTfCjtzMJ62
EMvDEfAZC2g7G4BySYdmEF7JascQwV3rrsROOItxP9ejewr1X5/V/U2f2PdegNpknHyUJB7MICVL
EkWyTnzQcHp/eCH744HiCaaOYaMx3y11dk7LA70hdolc9jKZV7SIPnh632+e55cIUBjqLCEi1d59
wdzCPBoBsUAwkEF7GWi/4rHnmtHgWex6wKCzYXx0K3pfFPCi7J2E89Jh19uG3lL+cdwADPMz8BzB
rq3x8DP8kmvCoVrGbrmFYICRnuF43bGG27l2+7z7oK31S0sV748ukG0KePqpdFx+fn247RB4yjrY
Kb/BYjhlHb82BtEs0y8IXOHYhL3Ys9vd03bI9+AJh4c/75pnBdxP25h+D7TIbe4yiH41wPKf3wGP
jQxsCZAw83OCsue2g1sLs2HBIQTVfsAonpZm9zKZS3TNF+leQ9aLNlVvi89GHiybZAjkuhvJwlLl
Ip7MzuarbDuqu6TZlXkiPxFr1h09UDjHpk+CU4t97xQ0Y/toxzqdYtLIvTHsb50gJqBkMIoPii/P
5jP89BkpYGmZwkUkcwHf4LvibyYE0205QneKp+o0OiR8mk0MNXmoh4vzhwhVUtziJg1OXcK/YPAY
rUNNoirw1QIcdJeNQy9i7SRRfAjjRGyCOjN4rs3uOC32W4MW42AMPhIyAVIkjZ07wI7OtpHpcAHK
sjsUrS9RACzYeqZgYKrdbQ2PZE2dEr0t/H5B4VPrGXtl7MrGXjYy8lZxk4B3wVx5PfEnd40/ILFI
4k+z4RlrPxqL23lpHhdJDphM1IU3Kt6si1M0bpPhyk6D/smodZLFf4x2t39/bz9xyH85afk6acKj
qQxoBZNJ/POSacIwShfuTbs4l/ROlCHXQTac0nj8XJYQ/x3lEjvfAydO/Tla23S81pnXiEMusIAa
Kd0raL4WQFses6wakkvQjuZLO2cB4+VwueRv8U+DpqRNGKYONJLAkeC63ufm8G2B237JLc9cmz2S
Pa/v3F1rtxWiPluuDb9+VMWsdviX70sa0pt8kR9VNudAs58XlMWdmycWAh0P8HsQe5b2s087xdtZ
A4e3QCL81Z5GhmC88YgTFPuPqkW/7/FEAw8hJ2Be2uTSyoAnzS5ApAzG+QoUd/mQxlrekfLYgWn1
QCt4mbGzx4aF6UPck4jjwLayRmbMu2srJc5RmYI8Cqn2gKsstATu53FwnlyDQMI5DD5HSfqduw7g
QeZTl1jOg0OMaOMK65S47aknt0khMP8NBdfxKmk25Tj1e5/ewN5l5LdjMMlCh/m8ncLC+aCH87u1
w+TCpenNvvNLUThPacKMkrUzFN4bbgNxq58VqRrSD614+KCNG/xycmnorYNCjU4udNz3YuZS0asy
Vc8Oi5xqQ6R9+ISwLLlslspamwt2dMeMsmsM/cmlLSQbnqT8ska+9GloqeDFGMG5Hr4MYXTCbH4V
AaraWah8Jv9ijrN6084810OG5JX/FpC8v2wAkESkkXF82CNPM2X7W921y51dI+azWixqVl0TSOLw
DDRcCk9ZZ/pbSAukdiKJfxiHQn5i4B9tLJzkd01KqIJro9PIXYsWl79AyTa42iDmCo9MZO96/DGH
MJ/ZOZZQXZV+FZwk7go48GzLXZPncLx4O0xMC12IDw8eTM9NN3DMGAnYeLBzQUbARc9TSAzHtW3W
hB/JyvzqRPBiEDEzzk6S2tiFsqTtTMbxjhAvNqPA8rcJvSAqUB6I5YOq4DerhUVCL0br0fUp+fNO
0/l+kZcxqlgB/5A9hO9PNh6HU43nG6Zw9sEF9NfXY6qIIp0Si4u69/6W7ud4uI2l9iAIQOMfGp4G
ZHPhEc2ROCSL137wNFi/FpZc28gJ4saLTD0IQv2O/lGCCORtLbQtd4eOydmmM8pQyxL+CeYE3N3F
TC6n0E3JZ/F3Ta3kQXZsF37eOtu65OEPxopRwBhEawBYGakeHFTmwE9N+LlElGD1+6blo8DdB9HY
sV17lT7cvUhy8qTFrVfVL7PeRmLACSiuWXS+VbygX2y32HbZ3qFLbmJ6k/e14LBbfHFVDEm+Y8rw
1gIc3Cyj95YHxYud8N4NgFG7WUTLJX0te2upicZKLe87EH0AWtj5z0crqHa5liJOnlCUOduwRHBv
IfJFI8LTFMJV2icsQdA6hXk59m6/r319mpY5YvCGuiQHOLFWJUAfUz+rs83+IUs1v1YL+1s+sM6X
liWeS9kdUMVz9uRsu13etI9pmhuENnBmFpI31AQB8VsVZ31oJEwB5nb6178tWO8g04ydDICOrCBD
qo2yR9AaSAtWsz51s8Tujm5KaJmk5kEdNlIP9NPClzh1x6Q3xZXVMsBXBf837GNx6AKe0CrhP8H2
bGyqKOw3XY34G813v5dxJ69TCxVR1Uc15wIf0/Cs7HowlgXgo9VtwV2QZ9GSqQpPmO+OfJ19sfgP
/hx8K9HrQoxy7SNP53DCU+Ns2cFYxd4s9vAQKFlSyujz4x76fH0oTXkFWNIbcloyIDt8/0no9Fza
+TnOhcP/mu9Tv9C3+v9UXpjOhaaa/E/59Iuh89NL9tL1yUv1T/vmv/7U3+bNQPyFRiXgIsAVAIGF
92/vph/+5QpmwoxiqV5dCo3/UAoc8y+LaThWZN2WZQ7Bv/p3Upij06WZKnGhoQ5gTvLfUAqQzPxc
O7sWnR9CUnFQEWUdMP34eYOqzQZVntF3O7P0Sx1wqzErlD4gV7oQvzSeY0As9Ps7fx+eAS0tFmu6
q5rb0nFrjilsY3FpD7mzG53JoZEQ5iinztCXYETJumYLwU2d4fJQp5AzWQUaFpO3wdjvZ+mAkkEm
BvM39sBrKc2aUUxXJTTwyj+SXNPIrVJlifeZiJXnJZ2mcWOBnIpZ/FktNRcYcCmi7fg0icF/xWKi
tnEA/GYaQkHYiLVctQYmCfwyOZsoyVdNq/JPgw1Ha7BN42U+Y3QIq/Jfy7yvnmwVx3I9n3E7pRcl
yS52ofAwwsy+FAz0AeabmtDTjED49sFQTp87E3oPmTGAfMygVc/z3ESbZpmnZ0dgJ1yNldkA6OyQ
MJZ/Q4HOgKDcJoppU/QaHOSfIUIDgKNoNSDV67SPqbkppdVinrNU+NycQURAsVFmp2dA0YhoP161
rpTXyGq8Z9FbqFr7MSH+DH+LBtY6WC2Qq4A+MoIQDJIYINbuuwqq0bG2Kq4tfaW+KNVnBYEcfccH
YI8B+TeRttxmDBSdXuWnBfHXbZECX0qQHz2gZ2NeinAOOtM4tdVFky8Qgh0qnm1UjM0jxn5oYGeo
U+kpoi0qBMQFNwDlPSZnAhTg0njD1J1ounZx60+WH2ftlncwPQ5jX9ySmZbc5RYi8l00Q6IF9d3t
HY2cyv7GT0GZCwSDHc2lEhpRpfpmkBc+BZ6xds4UK2Uk58hv4FZepzlX4Zl5ZQUNDEcoi3TaZgBA
eCxM875rh0xuI+HjWrLcDEpXU3d9BEdQo7XCM2XrDNxSxTg9c36KE6Q1qIHpGc41nEFdCakkXBJy
fwxXNNYqZz/+TfMaM6fZ9mfKl1kbA9T3UJ260rXvVDeKhzwjWSnME17VqLT1KBzK5RbWMvQw9CDI
EsLOOaQaLmbBWr2cBghv+wKpJJkppMM9V7bKL4MznYy4SWTKPSom60wvk8rpL9Jo9mFST8zupVeN
W/B3/nMYZyBBSiu1oOooAxRvM2BqWTsNRh8uQfIonKmneOQCuuPMVloSboBXq8c+/uQudkjeKwr9
J3NM2y+ZWQicZMK9DMaBKE1TM9syTW9za/EFRSWU/toZXThvlvsC2dw3b2Jwuv4WzSkouFBT4QgN
GmcG0Mq9kAOYuxXgVc44R0KT8+qkeyW4DDdGccbNyTN6zs4X5RzoxYOki32TV45Mrm6ryIdie9me
EXbgmMDZJeiQGLz4YUNk79/Iu1zj71pNwpvRizJ4bjQgj1ZKlGhvlaZ4mP3MZBWDplxhtghfatdI
X/IzbM/W3L1ZE/gyzeKreMIXxg9d8k36fn3N3N3bT6a5PCah8iENRpD9pGb8iTPubzqj/2JNATT0
1DGrEFJYZh2eBKkOD6yobA1FmFV5hglymMzP6O+Ka2I9THBcJoE1K+7XNsns6Iu2tAy/ZdKd9ohb
WoQaUAupRrAEqMyil1qewYaU3MtnNhuvvM9DAstFZohr+8xD9INWXhBalD8BL+USK3rUPcyGSuNL
q4GKOAfNNzUmUBZFRjDxqu1bbv083yeaUPV3WnnwGfMzqxGGei4e3TPDUZ15jmro5mBP85PHbKTx
3iF90fxHqVGQgYZCijMf0hrVvCo1NNLFNwTF64yShCkZ98AlHY2Z7O1GvRQaPalGuqS2xlFiOTE+
u2dGJZQo8nkhyMGuJJKCCztGlhcvnBzSajXmkkxZiJcD9C5GSz0YTA3E7IlZbbZWjS/Dapy6Osio
d9PPpltOHv8tsyhYB3j+VCIIv+W4P+aTDX+TaV5DUNRoWt9V1AQ34Kydr4YxlLf2bNU7B83FY4H7
Mb0lgb5kQ7Fjz2d+NFZfswIAKNreyVkrjQUFPJisk1TWYmssbTith6EYg3ti14c3CHT0/L2S9BBP
nnmjHWEvRDnFau0C8upJg4i8YRXXQQlhHpfMyhtmmgHeEt0qWvPmlhgr+KaCPgFMT4095RLmcnDn
0UGrkHd2SRa2q0GpuUam2oZtH2I1JPfQ2xPG2WLY0t33AKb06hnH4hih39HAc5cEg4Jxo3KMFX2g
6uQN0rkBRvdJQa3eOH77pY4BH4EqNuAR9YwFUi+6TB2p6BF27vcpycxjDBlubXtNu+6HZt64cwpS
FvxP1AY/AKG/9rFr7K20qDd9RHrMmjBDC+1vPLlf+jyFblo3YBJXCTN2hl61OzpHF1Grs55d0MPH
0SX7ZOUZNXB+x/C9AbbsTJpUHBS4pCZagFq9Lb7XuGsShma99Zg0gvFDA0bfO4wA4KbrheXzPfJ9
OO3jQKnjJnAeQc919cntMwBnoZkdYPAaW3toiQRJ4EYrjFYb/JFBt8FQnh1rCPPbJMuCT7kHtdUb
ooK5Twj+WqT2m0ij/rnArbKZlpmEZWIB1jCG3HQzmhltM9eLfJq1NQGg4VhZ27wqCAYzZZX7pzmr
DePBhd/erqJxSOu1yBVBfHabDst1Cw0XDTsLhoT6BoQngVy9A+RVxtOxSQ3nuoXOhvNzckjiqy3l
PNk6zu4YLk73Q2gcU+kXI2tHNMWxLEkvXbMjDMHOmUxxsyyQN8l4kOHVuDThySTGhxRPSyWvZdM5
F56URr6KhqR/bewePQOp0PNXNMl9toG67zDBNCAPrBQCsmBf+RaRKr2pqENxDC/7ciaNkNE5lGJL
ChuvX+4EmGpo1uQl4OHGrgURkJDvHimiGAoT42Z/69oZ0VfdJxdF6YlkU9mCCTiH0nSNMkCHZYTY
vAFMeOS0do6V3ajAAgyJiLLfNL6RLBsLFxAtyzgtaXRbIlspNrvdOEp9+oFwhChMA53dnWDaK6IA
SCNjxIdv2Sv8uzFc6kcHXljAzC3FQ0UcwFPGHC07VKQe3mEoiGsCsW0iBlXKX3lKa1DhN9KK4iuG
BoDCHeh0Lyjd2ju7Kf1PUSeDBjuij94wHhCZsVfarJPBC/nMTqFMgKvZRnI33AwkpKDSpzC982Jv
vFQRX886ShBardjGvUdiqaG1x3UC9jTFPdZuReKK8guTxPoHeCw4iHmPkRVmla6OMlTzyMxUX7xQ
KESf5mGa45NAomICfOjnRc+aY/LGyxT5wUxuNjkboLTIhciS/jGPXAtHFGf0jarn6LJSw7DlEZA/
SuVZn8Z8SLqN1YTFXbJMxoPdmuGjPWAltIcw/KGcwXxgijZeCs8znrGhQsLEGbLcjXWmntl/KRfc
trfddSm6DCqpO8+rsTTF0YRy/6VOZ5pYijPmC3MwlEtuDj+ZTcDMckLfU4ji4AxIgImRfRZUymbu
Hsn7oYrp0iqSB0H1f+EHA8ylekicY9rZfrFD1+ClGz/hdINNm7TzPnKSOL1YGAteesoF8UXPHKoj
RsXW2KiwCN+Gaii/dRLNO0A4BRij4y5FIP2cAJNOxklaezOhObNm9SbuRQoWE+mdkTUZbr2RjvDK
QtBkvNSyCw4zOFpRb0jF8QiQqrKlJ+Zy4LqzQfVTi6d2Gi3xyYPhi4OQlYZBPZ9QsayySL14cHO7
OSZWeETjgKyqCLYxARrGfqpcn0hY32ZhLoYoTzRSm2mtHHdwrhdIpR46A1w3pvDuTc6b5SKP5ugu
D6kJbgs8jlXMiRCSasloi9SgpBxVsS1FrLY2RCHfwWgxDDqoufLknGKBaNv2KkEvld0Qe6LAx1tN
6V73mVNFF57VDcmNGAPl3/hpFI0HQk57GrledcdQuDVOwqMmuZ8BMSz7sJ09h6HbkqRHOiwp1Oe4
keXBk9E874hMmLuv5TKbL/RFcsbvs/Kir7kfV8Bcp9gKTnHB/IEMqnS0ZboaOgjCyHqI4rHsOY0S
dCY2/VNGNj12IDmqdRuBS4nIQAkx9dDoZR6CcMclkhSotddZh9q08z1AHGoJO/KnzwmOVB3RTXQT
o9fGEavKVXF2hXxgDNYL2WXkgeSEDIOyGYxNH48Y30snjC4cibxj12SCsyusAF9cYL6bW7TIvW3O
K04GIPcMVIvuecopt5t2msurQoMPgbIm3lKu/LEXzUVl4qY8RCJk6tt7ZZA8ckj59LymvqLMMcfx
NIwOLVXyULuhfADU6mavFs9wfRerfoaV2aQJLvwI7q7Z+cNt1obhc0ZxR4N57puA7hc6i00t03k5
WLEIhsvEcBc4MxF+hNViBP2OCSVz8kVI4zIt8+cQ9wsVuQUCHZQLZ6IbNV8NZ0JzUZjLbdbFnzK0
RAoXY05CaRGiWl0tzgAZefKbZJNGUJjtvuSYqhIjelvoCNpHK8jgNtNiGADDF8n8bY6l4xw75hIU
rObQXbTtoD4rC36u8mMyKW1vLo+D0xruCnbTJxV37E0VOQCX8cQTS9UCcm0TCUKYUS3Ew2sXCBIz
dQva5xSSOFBnrsJ4JjpJ2GM3zPFjxxiA30Msmbcq0ti6mX2nsK9Cs0KGy582U2yVg2lsWvI5K3AF
yUQemzQB7sVV8L1l60+3U2t3D53lcmPKs0a+lIZfHQGwGuvCDyKGr0Wn1hgJLZ/oNY8cuqX0nBuv
iJ1PLblE+7QhGj6DoLy8or0ivHz0sfn1U3/PNx8e3DA2+fN1YNVbTLzHxqymF/Im4seZWeuXuY37
bA+02r4ApxPAYwpnsm2FVTzHoKlhTZDGZq6D2jLLzYg9F7shmRjkJyvVsi85AhKUwQd7bOM8RN6x
kEo1kVyDPFtEY7tpuOyTbxT57aYnVkwiBMvMAckh8Rgbtw39/29cOrqj+KfG5UPfw577Tf7lv/7k
381L4f4l8NiZ8MJ8zACc3P/uXgbBX8za8cuE4FTPCZj/7F7SaUL2QMeTDeV/eDuT5ciRLMv+Sknt
kaIAFJNIVS5sHjgaByd9AyGdJOZRASiAr68Dz+yuCM/oiK5N5SJEmO50M4MBqk/fu/dcx+aX/rt7
SZ9T8JtMB032Hut/0r38RVSyqLIgTtC9dKkQkdgvvc3fDFeIIQjctneGPfT24EH37XRb0moH/oSa
6J1AnOysBfE4fzFFAsdF0/a3igNeeRkLQwJjNbRc5o+/f+VeuQC0nWHYu7IPd0lrO/Ub6leOoMlg
SpyRsAmQArMrvOR1Sm9zlFUNXdgjI2MdZlq4CEVr01qr1s5fQ1bPjgYf+7A0pwhcVsu6LlSN3zwr
QtUfNFFWRGH1ptGhwOro4NSVP73bulnZHUlIe8u2vVfgNePbVFnBcyEAUm9pUQ73xBUAY83w7ZEA
lWfJyq8hBpHjbfUvpQTX7pgcg/yiOEuS6PeI0Cc9s1jN5XvaGAA47GEzVwSJq7D6weTSvFKtTgnh
zLxvwew2YCKM9Ar1H8D2GFNJtTYiN3wycOml2zkyquPkW+O6DKdPr8JeSB9gBzLWOnakvW20ju/8
uPeY5xcz7gxCow2zZIZTcHivR/ILtPUwUDHTYrMuExoy4tfycp0TFIlJ25a3ZU128ch5zrJFtIk0
AlHdNg5SMzfHXSnKlVszXAQk94b5CdNwIM/CURtQZ+go7HaPSR1BH3yFJqSCb+xgD2NCrQHD5fyl
Sq+tUOlb3fbNlejr7jiH7YJpVf2OELqCjU32a7PBJcr+wFKtE28LaMDGWB+iEHAiSKtCmTuZ2M5R
Co4rxoCExmz7/hQKlextyKbop3Gd9g6hgRBh+l1YR8UJ2AE9dycPN+2M0n4G6o6rW1bUJGaUH8vS
kB+1OUSHXrJfIK8ybuZ0IO2xapLLNOcKw7/M5QagPI5rH3pBt0J6ZCNK8fF6bqSPFw+7HXXrVttS
vdGQyiokUux46ySevdeol/41RxHzvRys4qPzkHBwnKwdewV8tb8gx7wSo1GBJGlFcpNaQQPBuzlH
Qhqnwq7rE3Gs1bfCh59NklQLgVsQvTljY9QMvVVAmMlKiMp1MZS71R16KXZyAdKUKr7KOLQWlnMj
VUbg9WhCfMoxhuwxyOXFPjNi/6FwiBgEYS7FpnHL2doSWNIhHPYYY4rW5qzP4W+4t4xu2skonqJT
FNW0KYh88F4B0kAdAG7AsdizqxjBtcF5hsCN45JyXpIdFRVXMw8Uhlsdol0SfsTmmMvHqm1pC/uu
n0xczAXKb0/0GsjUq/Nbu6iGZySFTrzCsEMjxR0tGxe9bPXWd3TUnCbdmZ9VUzd71y7M58yG+bjv
ClN+la4Og520LSIbbNWgvV3Nk2NcfLfTO85/8zlTPjnziAYJwCa6gkQjsB/xY2/RBscXZpzbWpi7
mv+RfxQl3qWfafby/gq1y2fjNpTThxtl76qIr0xKploYTKcnDtPFYOWHgengrSvTZNNIDqJdhmRl
crOroEuy1WwanHEF6v1iNrpDWjc3JUkmd8R3fsQZ1UZbtcU67PLoIEBAX5cA8HcWcsqdN2GBiMig
vYtDjJ6jofxzP4/WFglN9T677bCbqGJuxJRGyaaYQn0Vqmz8KoqQcokSPDkHMeB9bmCf7vpcTkNF
femY72SzJydcO/mZAfwt3pQRqJcyO+IBoZS5n01FjGCy8kh7h6VlFDyXxktXRFuC5/GZIlZ8yoDU
7VQ59PeBbYpmFSfoV6k8kHb182dNZgeaiErKpUgPN4E1efBEENDKbAYVCNJnq4sooacTF3c4uUPI
wXZvr0WlwwuI4Mx+ZLzbdisxZd0xi5rhR2cU/Y3Svcq2SEIgnKA4uvUBAq6RAVnmKrVHgiiY4hus
FtE7YCe1MUrHP2Bc5IPhn1rnRKES2GNZT35Ozg5VFkOMkSSxaeQGjnR2A16ZJJAoPPS5VZAESzJS
HnvXteXGp951vtidkhvOkPU+J1Q4XTEvRg0JRhnDSUhLGZzQzGEiUZFZboypaT8Sg+4S+nx4Ip5b
qpBjTNoRoNkaKeQOZ6BdEQ+XZIqyb12C9DzH4vwpYrPfT4k9clThgdk7zeAPh7p2U7kdhsG/abqs
ePb4ntZ4X9vDhNfxAymtvFNjE75PeW7KB8JRWGa7uYwJtuyYAS1Qizbd1FQHRKyYEcGQdTtfR8ls
M2kU73XsQIMu1LzPLZPctoS497Z8MWgYF2s8gRZ9JNKCPQpU1zb3CYYJOOQ1yhHoQkn3qDOLxMnQ
TOWNpzxmWuiAsGEOurnDs3sf2oy9Yro1G1UXxl3eyfBmNKhdYTmtE1/uAMElDF+WcUIT0WWLjgUH
kK32ZUtADDuTg6vazpKIjxBfB4P4aLzxx8T6ftTKo1QQ1nRM5gBdN9X+wTBCQo0jDjCWlV/Vfj5u
57519v4QleswsggSiSO+5HiU59SJniM7ILOt09wAyAg3mn4GOTKI5QlqmONLgf11W6XJDiL3Nilc
c9dNvXUVj0m5IUfLZHDjJR9jZIEexUt5nSt/4T6Y1qoax4wIJI6akQrbfe1N9YZvSG+pBUmyX6wt
wzg/hfnAhSyqelu4XNicdO1r+Dj4t1T9pJ3YeCRcsj106JqXUoNGBKQ4VCC+uWcF8s+RUzPdzVp3
K/ABE6Yi3YOb2pLOcXCnjInHt7DkLZlZW6FzjuBWO4xyb2RusiWZI9qTSE2+o93aPPCJdM6UC+o1
wcTDYTVwnB2NY3UHkzgAztUp+sZlqF+ZlOcXr5vFWQR59qVGx+VYRYoMBhX9La1zF4HIWA077YiK
uSmnwE3kifBLxDNCf0QY67TLLfR/KHz3GHSchC63Gd+RsMzOmUWDOLnkV+9HxOFvgdk2V4Owxtsi
6DJ6dHWJvwd0rXuKkMws8JS0OEUYzR6iwHTOwh/MRxpq4Weu8NdCVPKLvd9Cf2dhMsNj2gnnBM2p
FGs4NcE2wtN24lFRBLtF8OT3FSmL+0JY5jP0cUyCjhxI4Z1AlMRWTlZ4VgIqyd3Aq/gSyuIu833j
EXFDekhiNZ3TMZ33pZiGF+mQl9g3RMlwaHchiJSl2lmqD0C5C5ExhYKA8pil0/TZp27BY+pn2QWF
8HAJyMps1llCIDilbb/WlPa7NMzUsz9V4iaMy/IUh6aA8Mf8gs3P0xxyifR4SWQjN0Uh8rMzGuPj
oAt5GMpkuEeP11FNuuEdKVXIl/AfnXFUey8Gjep1w+j0xZbhUVUkgpLsc9P6ROpZfmQQZEMmu8t9
BmpqBQxJrVnxzBUCh+QK5eG8Gr223VfEfNsroIDjGg8fZKdeLWktOeeGeJU5YXETQuXaB0StriyS
BddWMXUXlzS7o1fzDkq/NJ9oFEGHqtrOfqRz5ZK6YxDUcMcWwf7WR94Ajgyz4KZQgHzyHFdPQFTy
zrVhDoL4bm76TOIWz4O3NKmB0liEgiZ+Oe2tIV2oknX8QdGSbw237pJ1NAPxxwY3lfvCwZRXN4N6
5aGdL0YAFXJ2RhCYLS/iG0BLUw9ct1PAI0SFFd1VY2vdaCWG8a2yCTq4R9XZ5A+Gi3560wFODTmJ
cMAjcJ6sezSm7Yic3RpoXXi4pEAU+oOxd+oqvRRSR49jbSZfMx7RfTC5TBVALUf7vhXqvp4s87Wv
AvmIY4+81am1gpeeCPmZ/J2kfIgKI/4YtZsilpX2WyNBr0BAThK+jtodL4IC9bO1q/kU6Yr2GWmZ
zWVqTdaKubFYoCm8WdWcDhJaM4JlWbXK7mn9FuItCz35hBnEbR99ZL3dDQnB0t7OUF9BTAL930YF
7e7BnlLMAk5EtmZQRGT8Jb05Jcfa5CaEKmSECHYd1W67YnJNYq54euWU+iZhz0N0Jn86wAFiNzWz
Bi+Ocbww7myM2jN53j1roo1cR8em6u3XfNbxvjSD+hlCZv9G1xv8qKybS7tAP7DjRGOuNrXy/XM3
RfaGmEucVjAe3lIv1t+jMkiPLjnszynmnRezrhx/6waTfHUTMDRDp4noCPzq1ppt9z5CJBmtzGgM
DxJ6Hpln2ZGKOr4aLakPDTlgh55L+IZ9fSB81HDvZFy3u8Lw9iadodvES6dTB1hh0w99eimlIa+D
zu6B5AWdAO6On48QowaNiJfT569a0rIlWRDXqOu/A0L4YDo63ve1wMlNRlfBam0pvCDuEHz1S+55
TALwTsLF2IDSjJ9bCErfdMqTkxtl9y3Nowj7o2tfk/ZQnZJcFoQfy69IxgLYaBdcGsrZu7wYGqqr
pP5E6I4zKdLWoUSb8TgPsNZh/YqtOXeaJGvU3crI4hsVLniXubWRYJN6tC3MursaQ6k3LeqIoxsV
8f1AA2Bj1+RWr8jtru96zqTvzWTJ+7iAyDeh0l0pv2pvB0dnR8wn33oxJtUSiYJgngDMfgtdzcfE
OFlQALv5LXbzaWWOvUDeZ1MDdSn5RnFlXQ8DXYzczYKXxGvC72HCms8cRx3ZVofLFDE+S6jFbsqO
1PRZhd01sMbsoaPKI/Y2F3I3I1M4ITGrr0PFLT8o1nsPsen3JCEfKyS1921CzOlASeBIbZaDd+1D
pmA2PvF0JewqeEASXMwBe4qvnYE8Uc5Ydpjt5jpOr0vgt8+576iTU4fps1FxXynwCpwEh3Lj1xOh
drFt3uGBt06hN+iNMfT54zjVFvmkRfkl9Rg3cNRKi+l/2t2Igj1vBQzU/vCjjBMWvqf2LCIVpKuZ
WffB4EYzt4RyG+aq6zK0S8Snkq5uyPpbN9ZNwLlrNB8y0sgfvdZSb6kR01vxfs5Bx6ApX5TKwzfd
CWakAV319Ew8oXs3s/rhtlimqOnPiSqSONnu0gyJRNRpzlfI4uz3wS3dZ8x3MxHJXvXGaKUGsSi8
b5VLk8Yh8+8qolJjxMjawRsi+TQr0QskgycvgcHqbbotw2RnUMz4FqF3NnRvqF2Hs7kMjJXlh1tV
Jflh6m3GyctgWZHlsKqipH5pPZHgzCiMC7hEZ50WIiQNfd2xxFdrNF3lB4k67njDNCl2DgRNMu+m
QYspWkfmc/lzsE3ia/I1COmj9xbTdkqn0V2FsyZKBZbJ9C3jDLmJGGUgZ02Y7fPh8b0OP4fnVqxk
saMKaK8mMcSvVpCYj16KaRB57Mx7MFR1mSpfjTSCovJZFs2X+jmab7ypfIMFOX1V1KDH2DFYhkJ0
+3HRVMCxDAPvTPKeRTS2zIpYQG9C4OGQXsPWvNZdZ4PsQiNAMfbMIlOdplY9iFBb+6hPjHO0aAqI
TzFWzNecDU6Rq6yvQ6p0/9IlSt6GNg5dEUkovPZPscIYZkenK8lJgWR4BLjP7YBgyTnNRdtXm5wA
WrapYpdVXbMJvByWGuG0hJ/O57EnsBYIXowzMCD3cYmzjbl93uufGbdZWRX8PsG3biyc64ET1A6I
W3dJJw9PT2zu2Zv1JQsNkjQ7E8l2bzh6nxtQEjEKtLcOSbtLT+iVwHakeEWtTXuTGWV6S2VXRItD
L72G2kwmq1ZOjHIqlqDlUg6ejK9mSf9t7jZE/ub4vr3cXQW6de8pDXLyWuMsJEI2WeJbPXXoZOyu
U1QJGxsN48oPJ57LPAwYkphFuOsAJZFx2VftWbb0EteytwhmikgxhpKuXtOJjGNECZki5tBgAZeD
c28nfXNNbBNqLyKc7mLgSNfiZ2xyGFTeuUeMSso4ocoWisgzQrUaSmriX9Cmky6goeBsLILrXyY1
dLc01+DBOjZIDKAMDLaawQCUOss63UZy+hHMzbxBUWOv58gSH8YcZcchnMMHl5Vp5Xo90+CmnkFu
z362i9I+2rWOmG8DsMT72PKqZmWmhX89Zl19D45dcOs1gj8y7PLgVnp+G4fcO9VOnT65TsMqOOL3
oN/oogajeUWcCdbwW84E1rNLUHu1EWKg5iI/2yZHu18CtSPCyjnuMUcm9vfJ7zB6pUsAtzkVZHHD
+xq36ZiP915o5WvwW8axW+K7jSXIm9iE5rtYwr2NJeZbFSkg10AdOK7vM7NobgdRdbs2Q+djziMb
KT86x04yr81HT+9sTMbepoyXWHG0+91W2jHPOKZdJs3+FO77rGkXXbk13ECzV89IW8xn4sqiTd5P
abyic0Wa6OCmCVh2BAIrqZP6MUOjKHaJo8ZpM/+MQjdAFVVnoq8tWrJ1ZXHf0vxAjZNFxrcylerk
E9BI75kimkh7wP2XeYrb5Fx5bvIAshklcB4YNHtnKF4aYGHSf6VeMe/nnlT3zJpdCIgBUe9emRsY
GFIMJDvnZ0p82sQB/E8iPREFwRm7KF9SIusgsRbwa1B/62Hkvw/GEkEPTETI47iMmIjNlPIRA2D5
0tih3htgc29HvDsRiaiNumdmhzrCWmLta00jjqTN4pbt5tUxMRyEPuFqJriD7wYUkF09jeTV2559
Ur5VPMOi7GpmWmODAzS2tlNp5jRSuiNXYd4qpNc3bsLMcOVgtHjouoEAy3CaH2lfOie/sbw7eyIY
eJNqv76KmMBj6Gps/4Ougevg6LAQZYiW0QGMEEOi7tXtgR4ykZttVI0vie+yQdBCna5BNXnbPr5P
aq+HkIDn5TED1XIVoTSWmdtC9USkdR1a7AQHxTZDyi+pjO9+nKpqHU9jr1YjKusBEpDh3Pu1bY+r
Wk95AHl0QoPR2XRqARH4mLptu0p3bCPWXS6D7t6GIfmNxrm+N9weOEdg5vsEleO+A+vzZGfZeGvX
ndwmvqHFrkqsaaOQMdwqfH6cyzU5tV2dxa/J6ObnzjCHu9awsoYWJPThc+OPTF1MM+e/Mel+0Cyp
stadZwwvE/oL2v8U17vYGVP0FMl4OwatbFcelJyS4HI3uK/SdjawnVhLymrs9QA5TPMhCmn0Ek0s
ioc08Yj7MkIO0AHYDLZT5azdIOYgNRa2c9MCDr00USUulrbLW8ybJbhMRsOvM4o/4gxSyF5D47vX
AtAjbRziU8pD0jXmkxsH1pmUCOLjiiYRMfhM+p8oKwvvlE5G+CPJivmtDnh4tjqmYFsNollEPXNc
ggaxOcbN7ZB/427Dgl/CcKSmL9V4q4Qd/oBBuSxwPESOyV8C62MdbRMWq7BK7xTHodhHTaHOrO1s
QCoQH0r2bbwJKnY+XSMjc42kvh/d1jvhiWmupO6G42zH/ZfqJSRSbttmpf2gQYLajeOnm4bFps37
DWcIrDed25WHUs7eCdZAsRm8Kn+QyDVOhoXSdc6m/qNMGxu8EaqCfZ2L8pBKbyw3Y1Q0b2aNiHYb
9V514YhE97su1VM22P493Ob8x4yx52G2Wv7Tsg6paGheUIcCYQeawbgj8ZRx6jKhtz3X8KHUqvvB
DlSgR/Z08AhOABcffjAr2eIYvOsLT12qKnOYHrC2lCvZS3kORNfdYZjMz7XJL5lhRRItBOM7dyzp
Joip6L/PtNWWDXmwrv0eoHXocSpBua/zC2JuHE1xkFr1QxhW8z1Tbr4RihvEsol7z3CrBHpnxheF
5hE++ugg92w4asiq3batGROVq8PbYpjcE78W3fJ0G+8jcinwrdVLHA7Z1kwqpvN4qm56b57vprH4
aExnU2SwZpu4Qk6ZBtO1203FQ6JtvW8rryJTMHiYEC9BfM/hNri0Lo+dEk66svWYbFNLuI+25nMF
rsfDMy1SqZznetUaoIgGjq9MaHo6HEZShMeOsv27F1fuXSiECV/WHtuLpKDnJJA7BsHA+ClWwzjW
p2Rw7AIfa6QQC4wtiFT/R9VmVgYAQzm3cWR519qt5P1IO+N76fmSsEOEcB3HXcY3cc/dpEV0YFUN
76qk9NcRVJBt1va4tMsQJb8STV+uzUpBdKLt3pqbzNETHkhKhHNveOU3O2LLiouAkiWmw5mZCzdZ
Mm1BY2/Wz8xTuyPuu2obN0RCjjGIWeEJrFaT8CH82I5kN41GhlZdV3x37VBdMzvssXlP/tegSnXW
RpbTCzb9V+HFol1Nfe4ba0QmwakPHQpZL2VuZc89JxjLjPVZoV/eW0WDj4FpDu3e2nmrHUlUb4w3
5BgaJCJKeiSQe+hjXCMhYpELvKYeV52KHxwI2DuU7fox8Ub5UelpfE8oWx8RHsOQJzFlWf/Dsr9y
Sa6uEMuM4/cmY365YlVAlcKaxwkPeykrVcpiPPS+xxwmA6O3jrIuvtYGiOIcv3Sx1TUkS4YvbFxT
GbjHcImG50MZM7d6O67j2h6Ok9NF7Fzwco6tcmq5qSOrrNGb5dO3xs8s5jYQlS2rZs8vG5j2SAKr
cF2Fi0Wx8yA+9km4CESBm5/wVapTNKolKiTDB4fAluxrVzDxQ8dWsVtZMEeMlRlMzk1dLJIRGm1Z
x23OLrbCRrSEcLu93VwF48jLkBkWHUIFe39Ntq/5lA8tcxSrzHBVeCPQ4NAwjjTZCzLfW7X8H5qH
bhX2ifXEzNbOkTRahbcuSsf5aIakvKmZoN6zeVG75GyXq9Bhaz92olhCCkBmv9BvtrZtlhqP0XK6
Kvxu3sFrHru1ZD64/RkjMJIhdE1UufWRgYxnE1uyhcIMibeEUB/uHFQE64Dm8HmGTH0ay2a8IWZ2
yTJZmuQLEY4xDSlEYO14sgjrMVJ9Lw06o7HSnK7VC6lC7WkKyxwZagliGnvNRk8NnmUYB9c95cSN
tazO0QzXGuYg0WwD5MCQWAccQE4Xr7ARiBdhNMmNImnrOmu1ta06Eftr0LmKtCSoSDHg/fuWaIUr
EpdB3cCa3korhPBJlOCPvB5QGNZ+e1X0VXwbzk0KmSPRyQZfzfwDiVR8iLCtHdu5QuTXo27XkLOd
3U/By/+aX/G3dsW/7z+rm7fiU/3H71yMf//9j+ofP0ef1WIk/N0PjBuZ8d33n+10+aS06f7+H/z7
//yb/79/+G+fP/+Vx6n+/M9/f/somNYkqmuTH91v7Yk2yhUELf9vU+O3T9X92+qzjN7yP/i9fyiD
AvE3eHEI/7C3m5gX/zt92XfIUQ5sVDGBiUURgdD/VQZZ3t9QYXgkJcGBAS9h/8bXaP7NgTth+R4Q
RHQ1BDP/nyvwT2YFF+8fV+SfP/+WYfGL0Vu6VPgBjCg4habnub/ywT1pRE3OeB6aTZ8hzyVBZIjc
ZOMkmU/DevoLAslPIMRvgBHL61EUWhLCDXxdPsjv9UBonMMlfpLeKILEfWRl6dJvbO4Hs6y340TP
qwhn5mC0zYViqDEwfkljp6fbFOa4CCybygar0eY3X9sfXAbzFwzqz/cFfsaXwrHImfsVC7qccFEU
F/6e7vr3ruR9mJoGvTc7B6uTJ5zY1b6i4bhDvjlu4unaaXtx+vM3wXda/3pt7CVoVFguGq1ftVIc
S10wdQQw1HTn90x6wpNPzfL456/yB9844dMIfD07gCjwq9He4yKz2Kf+3q6cg5Ppbz7apoNOsMA0
Wum/uLB/8Jkcmx4L37hjSW6k33/fkEhMMaZ+sA9Kz90RuJPDSUH9++ef6VeVGXcV/gQ/IJQJjZtv
/XJXWWFmNtoJvb0Tk/fRZDQ9yry/YBD98ecv9AcXL8CDDIaUz4PU75cXcoyZK7rcvmFCB6gw0i/k
OUzpsEnZafY/A6wu9yRI3J9maBxejvjlxcZeVpWnJDHSgCnXuQ9Hhlg5msQzgq0xdf+CwvQzf/yX
+w/hIoqrJSOXdeqX7yoxfTm3XkT6hkEGZTtgrQOoIC65GbtH9LXZhkAfdxdTaRzmikwrZKvhO906
fK0l8yTav+3eLothY2cuDhHhoCh0iSvbOA71Nj60ot74cYn2qU9L9r+CvX2F7zkeVpVugIZ0M1MS
J3UHslfce+JJ2vs///7+6DnHbeYCMKNp+6/3o8bUo50p8fZRGVvH1DH84zQ4aHAH58mYSpTixJ9C
I//y7LhmJ86sR80E6C8u9R/drwErtyQ9VjjMkH95KtJJQpkgxo2cd9orEnUJzI+VKWgw/vkH/tdX
CuApc16F0uVwrX95pbimnGEcgfU6TIr12ENabaviu4qZZv75K3Fn/uvTwWRCmD99+NiJfv75b2Sm
8DVsw7MUvkUqM+ATRnJoWfHvOCONF9fgRrCa7pHTTLFNkcRnG4i+uFJclIlY00d9wMGe7ycPMgTn
e8d96DkEvTl0BA6MHogLstHuPwSqk1f0gKpzRmj8voTDVqxqs0/HXQ6ompErDl1ReP1RYEQ+1DG8
q6BlAGw0wADbtiGZ0WkDJm+9yE0scZUT7nVnYW4rTBz1cerclqRSImWKlbuNBqLaBlJjbkNRpG/I
CoqjROWwFXkwH6bAMZhMklyXNZ33ktizvNUWH3xWaIqMkPG3E7Qu/TwrvDbTaRNwUtjmYV3Q1k/g
heFdQCrS14/Samvs9GX95kfCJ8yrQTgfTw1n70qrrVcO064MSG9KRJc+GKJubn1R+AztmJ3D9xgZ
G47abl7qcQivUUiFz3EwJ/uBSKYfrl5q81DYr6RDfCuhBKMVMCr3nHbtrR2AmvWKeEMv92BLoziU
g4lVqh0i64K2F7yNHbv+WUhb3c4D/aMIt+Jewczc83GWKDNOQ2He0HKdMXSeBkKu6Q4wqbsK6GCj
tssY2qAICXuP/n2T7PNGD5+UTFwTOkEQdTjxVPhgkDiFIZfMtnpGvVJ9M1GbPTvST2ljObVi+NKK
4JmybeqWaU2HpquQx75Hj6Eb1Jit68irZnCJn2tECIgkQsW7bma2fuYFtOlXaS6rfpMNfnKwAN3t
Sp/v21IDl28wlPOGE1rjcwrQjYjBTLaydpzXuLamM8Qo+YoCkaAqX2Tx7RA1wiFLMON1/F4oNC2h
Glk55QSIEkZw8MzIocufbRs57SBE+qMBjwb6MHS44wO0ag85vVdEgrGuCVRtwxNomjUyLu9rjpiJ
rUQPNnMj8NeQOQzbZSYsq5+urKxoTrPbuRUERQ2a3I1o6jHk3VszBc6K9aB4d21nCLCrIYUKZNsc
Yft6KzvK+sMQivHanQ0aaKkk+alizNSuRVYUG78Mb7J+jA40i/E70Lzh/cYa6QBNwyXSpEAUF6wM
I5mvLN3uegxeJ3RCiyuiLB7sUtMmSKbdiFjr0RLBuGWk3O0I2XMP2qiiXdDAJ/AdMgyaasRQ5o7c
HzmDvYBAw97deYCmn+ldeWd7aj5RokAO7duE+rRpvgchkQ0UqHZzNEzExa6REqJqDTA4zJmxkIF+
dtPkuJQyFDx0mUoUO8DBcHq1tLOkE6EVTYo30UbpTVqa+uDbbfiR2XCAMIhojcVQINPiK34IPVsc
iDbJt3oa4r0BMFZSirY/BgaXhBSo6RBoo9i3qicDxAKPDbgcZaEV7MaBAnGcTXkOia/ajoudvu1T
uRrqU+QkPkNUn3CAYtb6U6nIx5ccPiE8oknbmtGtgT3/jG42eKMxbT9ZM7FeDPFtZ9WG0MyQkYQH
yM6kihYdFheHvrbjG9Epycxh49YUx7SY43NUDy++3zJLqAT9fWfx9/V9j1N7Lq87aDn9upZ6JrAs
kbAAWqAW3gImkj00r7Gg8Lad+UbZTbwdUm9+sBpPXeOATN7HhBVXIMsBvQeysGmy8U4NlT6m9CRe
avpM+E3n4MltJIL+doLuM3lIDoP0pSebGhR6MS5uLNyDNMLy4oIUCo8szJ2j7m2UxlkK3RnTQN77
xq6yXf1ZakCLRO7RoeRZM8wXptP2tczVtQ7xGvl1Gq1HLaa1JSfzCkOajFDXxPmuzcmcdPJK7yoZ
1AjCOw4UqI9XNLwG/KGk7e1aCdUo7+iRpKXxBUV0VWjPeaRImvew85tl7PCsXbRWpuk6W60r81qW
HUCy9spOl0wL06A3ywq+D8PyDagZXUc+uU0SYrLkFDeywzmIpTlOZrkdLUJf7V7bN43uw0spwmLr
hRG6MV9eywotQLA4qTHgA2DSffM9DEKfiFSzWrvTfMdkzd+lGgH0ykXy81J6zMTMPJp26B4wcPuC
gfRalvi3VtVU1k/UZeO9VRKol9OC27eJxnrFYkOEJ6ITszGCh5jP+9oGegATOObQsXK3cEeW8wa9
qpn3lbdBdxqKrTO12bB1K64I2JvZu8udEsZUxOL1bYhb9Y4PHiJh4wVtf4QONfo7tyzKdafmrwnl
9SpKFrmF179hgq+O/HPzqvNHtUtlK9eYaJqNmvILa/9GsPjc8BA2+zlFK0ouTvaKGbI5oZOmed/P
kOOnRUiaR2QVJ6gYQW3xGBPT1s7heIug+BmCN/P5wHiyAa2sbTb5OxfdxU4hj8iY75oIKkNXc+dm
Kl+Dpm8eIN8+eIlqDlWdGqTbEfzYKQaw46Qk8YZ9f+zx57LK9yWqdJLD9wDfmKxXubtnSSE1r8Xg
q6GCXE1dYd31dZ6QuxeXr5Uv1baRzjZEHXwuW1aLEXTQFxsSjWTa4IfZFcNTZAocIsno6M82n3EH
VqKEX9xC+5pxzFMzOtPOIIMOj21VHHWivirLqk6jDs0HsnqbHVKFuwRo7GmaHWddBTZtNtM0huch
y0g5nrN2G/Pd3Db0aY//xd6ZNDeObFn6v/QeZY7BMSx6QxKcJIrULMUGpghFYAYcjhm/vj6+auuK
VFZH2tv3ItPS7L0Ikhjcr997znc82URbg6TlhwXf27Yto08dNP0dGPF4W6QoFYmORdKeZ32+B6Uy
7UAJITXBTIyUS9wDpPHJX0kgIfvDtF0iSRoFqJLqCKZOrP3JElvT7rsVUs5lW09pfgOsgJERMMt0
BNfWgTKSWGasySpuosrKu23VcUUCF8J6VAXmwaE5Twaye5M7/dusp/o01dPdVNTtpyRU+rZRttrE
ZjExpbXuersGAxy17YfduhIZZzMcSgmnvTZeMNeg0+9x5IYIbatjDTUkTNSEH6Z3y+epnbo7nAj0
rtkE95OKj9Vc6mdHJVhOkdVvmmDQn001LuzcFAW0U2tI8308bpTF2pzXbnwHMSe+N4eqWjO5dFd+
aWHltwUoBhoZw4U2+auaq25VG/1tYg0FCKgxrBPWbRQEKiz6aaNrBmKroV52qK+QmjKabZnjnKyF
oYGVpuk9hb3E055FEDUxwawq24c4MFUvbWakW+VV4ZCLH5Wb7vvR7A7Mp5nlMYlDTeAhGEYawt43
OXtoDSi/r8nPAdL+mmTW2cW8uFLK8I9BjfPIslM0CMUTINFyAw0KofYoMSrGhCHkU04CJwpqN8lw
LTOv3tl8/kqX8kfXyOjNK13iqwVvM+huNIPLHv3N89y1+MQHdHFG/+Jn1nBJgMVyad+hPbJHJ8YP
/P8vlp2fqtR9jAd2qLQ0z0zpf8b5Tz36ww5xY08Ud/zUufA2ykahO/BuU2meDGshE8rr29tCG/Af
iRx0INLsIvy5P+oJwGOMzJ9dCsGpGna225Svi/1JK67Y+lYDn2/MynXRKHQscgbSUbbpU1+nMFja
6lkv/ovbZPzTfOQq+jbV8jbB0elYsrsBUsSAsNCMdcvkObGCPQySp9HPYA41B4a3xVq21Z3t5nx3
C2eGqwbmbszOiUPC1mkZfbZxJP2LpLEwLo3NdnSLh4y36sC44ztth4ML88cgAG6FtJUx9zDggE2i
vWtaw7kKYnmeldf+7IoioGkmD0hnymOQSnc7RCNkiDH6jpqfgznH/aeuQZl7PeTzyhrS/ZEsJqxi
YNtxVMqtJuTxOOcFOsFoTK6lFCxUx0baAji1xx9SAek2URMEVXWyHCYabTVRq6go4HA/ojKPOSK0
Iwm2PSE4RcwPzixMOZPVYwpynArDHPebc2u9Gg3v0XfjM/kU6dq19LeBdMK2o86vXKrPMkfqJiPW
fBVT0NvBQ7LYJzuLXru5uisR/6yI6uyxFxOqkXmFPiTJotj0q2fROdNawwHAR6feMhzZGxwGCi7Y
d89wXt1CdOtFs2fPquWm6fxFWXZ/mYuhfJlohpLsJIu9RhVGeokFEi3CA64aQBPp0He7xEnwMdIQ
OXpkeK9mD3BBU47Utp7+VjGO2IFk5pcKJMBlNpyl2ZDGXtroewFQ/PLIiDozmaS6w+C8nVGGbA2m
HZs5F6eKM8s24/xzHKuI4gjToLT0BRs97ELlN2+JMuSuAqK7o8XyCOGsxhKHrWaI77Cudee2MZBQ
snaEoGpcEtctjI3ZxLk5RVR/t1jY/nQ65VuBTJLqX7/aOZKL3rch3KRaXKknqCBHd3qyjIqjS4U7
c9ToD0Dn1D8mftTR016xcSduqWX2am8lRr9jvxV3UMkw2GBPO5bNvpqXLHQrlJpibgpAnn12yiG+
vbRm7b74k/wZTaaFa6Madklhi1csbt0eAByUezXo7yPP9qXTiAOwyBBqbdvGTnXJsJvKKSFmF8GZ
7NsydGjjQNtPYDE1KZCLkWqe+Hqz9Z7F1TQJUM3eCmjWORWZ9NeF3aJp7xPVH9qyECsU6+9zQ6mI
fjX/EcVJFaaNOa8TTSnUXeVOAeIxetUZtVImcDM0lWR+57pHpbv5vV8YmaIhCwte3y266v4QORAy
xwyhji7j6ZIyPaZazNWRNKoBdL57n9CIWg8ld3yZg2APMc/cTvRSYOWP/a622vTkTFofwIaFkGym
bcCLzlkKuSfmlAERuKauZGB8CsaeArcqEpJSzBH9Q5Qc1DJodHSWuyuLTt7wOVd+Sp7sFmkNe1y2
/hGwQUTPpWbWmlLNcwB7HFvLhimEqJvAzs8psMc3M4+ZNC/FqZmS6LVIl0+O4yB6x6ZA+6gNJCFG
DxY418MNkXXPliVf+dj2COfmkLi9E7YJ5XALa2StI1puFp6LlhulE1C7Br2hCt15WPaCXlBpQN0r
U4gBfsXjU9dqK5M6ircc+pxXYmpRjnu1er1SYaAs1d3Kh5ECYw24ynrO3OqeXkX1rIwxWOsgUR9Z
ntgP6ZCKi9XAjU1mjoZI3VJ9ya3ge1OUwQP9OHetDDxApaOgFkUL4gx4kDSYeu82byt9izA0D91g
Qjo3oeFRTeTijqjLHfBQAlBbcgptz0yPc4KqBnBe7a18OFnwvZdvY+uIPaz3+S2pASgVWabpcLjf
maSSHCGDee3YZhwyvlXnglT5dT7MBE4MnLT8wM4OPH73QOwhaOkqbvYT879bUFHYh+s6hSw5wJYw
0KQuN/C+gI05YGDu50w4nwMYHetoICXZDSNmszX0ZO8NI7XIQ7C5kwx1n5CVzkPmrW1F1vxtEnfz
01JiFiRZzyDr3jemzgEEo4u30ZV9iLaQk97SLU/CipGlDAW745w7xM/Lx8ztWTMDDZSC0PotOv9p
419JlKIisDJvlXyO8uom74Y7H+7HsfDQL9Q5ewfvarGcKl3iOCLFjV/hLS3aOIbfKwa99QsfpJ/L
oqrJlGHtNOvyrq66fJtVyruVSWBusVklLHN+VwGCVPaxk6UVLg7Wxo1TN4SPyGh4Hpt5ecyjoXlK
c9s5iTIQ4Wg4YiUqA6qtkdFlbwtV7IHsTMQVemkPgzFaXCiHJmvi1R+0wtILYW8JcGHH3miEKSJJ
Z+WQBLIuOhzvjRfTS5+bnLjOnM0A40cPOsZt2oKB9ag+EKxb8npP8ieP9eeuL31Gn5UkwDDiMLnr
udQ+qSryihq29EMEdluY+YPrB+UuGJJpLelfrlQg4tMo+4sTI2mhk0OUcUTKBgaHOxruuMKjEa5G
xMLLHGGLhpbJPxBgkJwY69JMQfJw1kgKsU9OOUHxQ9DkJ4mWCURd++I1aZZsktwmnaFU7ofLUWof
DEgrNOC3kNAC3AtL1z9wpIx4/0uIQliW4W8ovlWXvI0zu58l+yk0zFzsaH18ktzmHKqJGJR6GV/6
Odk3Y4fqpprRifqRuLRW1YY2MXirimxwfJzoRAmhLoD15c3R9lOsQ+SkI888Rg7u6jVPi7lx6QqH
dHX6k9dm1vepBuS2KTM41tTgs7cDEQKoMIJpdAMYrt95HpQzFi/hfyJ+CHY4fNUr7Q91X/lt9xCP
fvfmB3525spzLqZ1tzUH7Z2p5car8ZmkDt6+jRisn10S632wmNNZLvESrfDGRd/pwVLhO5RcN5Ud
Y4Z2WPPIMGuhYG9xkhl5iNMZ0EBeB133K3eEOYV4YxexcceJsWMpK+QKra2CZ/bSHsgihCOkkHPP
MTivI70cumBWuHxLwUjV7zCDgbU7dTLPnnN3iEIz8ZvbNnbHTSSuE5coNb7NSq0nZHBhkdT87f3Y
PshRkX+DLvtMW8Tjr24D2hctHT3pIdUC41eWhG1N8M3PCqBymVhixaQHZoGuNkhXhnNUFJuuzVoU
/VnICQjSmFa/+kU/V90UPFfEjbHtxteAgxh058Yzl7eyml6XFjYOySLWFgfFxiCZDvpCF6/rOSXY
u6YnxEDnEBep8dKORroJUnqXtN2xdiVLelTAzsoycQANcOpqAHLtfRFwmB0cMpbaRNsHKliYemSI
u8tWdOyKq7r1FRjwekTfqH1ykRx8xginDaRTxJsL465u7bneCqOkj0NHI3lEsCpvKPrqg5W5dYjc
Xj26w1zWK69zCfVTZcuUmoaHG62W3uourY2xlQXMdp9ErJq9zmMOkZrTSr2xI0cfMTkJiBZiJt7C
b/WqiWlritFz3/hdxNJjRr8OKiRctGVADsWJpUA7FmOoMZfG/pythqIX40oAt7qCk0FnUT3783Wx
RAJICzm3I/uX4+ZIzEZsiruMGQLbG/2SVxRS3ls3E0Wis7k+4f/1Hhh8egfXsu1nIUEAbFxpJLDG
DWdEU1u0wTuYxPpq8SmrAwrhTvBsi5R2mkvTrpeAt1cZ2R2wBmAf/USXZT+jMhYvkcgUePQKpkAX
tOUZRz6yZ40hHjJm4OSfOAzFIZqQ1QomI49w36N4kydGy75Tu99mIqjOCMuL74VHJgnulvhMiJeD
TsdGbdv2cfmRyWA5qtK5qm9HaPGrwuDAhPYUIFiAy+sxwOmlMHg75keLzGo/6o509tZP3EsuIroR
ftPGF2Nx6O0mpE8kcCxFG3S/6sqqXxgiRa8lEMd3g3c/NFqufMblzLEYeXI/V+nyGs118lZhM45X
sK+6d4tEmQ+6wM63AgYkJP0FCcFVM+20lPCgmLyw4hE5KsNx2FLqLCwRwP8iDHBcA3Lq1xWQ61WL
Rrtcz+TVvxiIlw72JOaTHkf4UeiZ1sJraySWfnp0aTNfM7A6BSVfRx8LTRZegLpo3n1A6seFWpui
ein0LqcARBJXtiCbB/nE5lX9HKq+vuDNETuGDQYaMqlxkaUUQWZufEtp9yDER0ZB70agrQWusSMi
KLtDx4HQjWWfVAZEZhfGZR2nPFDQoUwLipLKKtXj3IIBXOVzge9pljQhHWB9J6sbi4NDYChBXAns
XZRbnxlFGpRd2ATQsM1r8ILlp8VTG4xCEEpZ1icWDF9tnJQ7ZwFKr3cckydrPVgNp2gc/Bk017RA
U4oG1fphZnq8p2E9XoSImkeJwPanbPriBNUrh10Qub8CR/qnqFPoxx3PMNaWOdi/JJaEn0guRwe6
QN2/V0hP3jKtW29V2J52gchfJZTEAzoREj+IqTyqARlgtvPUygbgpl+TLrByolY8GLpzXmKvLD+r
WL+YAV3RqqUiGWaconj/YhPjg2zyCxr++QNgZOKtNb3TnnoK675H633Ztx1tPRkMbbnlGMBF7tVA
gWG4ahHHLGmccpN0JlJBrKbp3Tx1EsMQU1fWiLjyt3acdDfYCYhny+lXbMel4dEpIewVa8tns7Gw
/AVQtwxxGhoHQgSPhHUneo+Gndd1oBZcL/7owTvkm1i3b2B4VHZNkEwOQ6nrh4Qb5W8dv3WeWwaE
cyjKxvukNHKGVZCW848MvS/NlUJ52V55MNrWTIzhzPE0Z+0OP/O1M4iS0F17QeV+w0jkQlOl5L+J
I3t8drvrzha44y4GiEbUNDbQY+zN37XOoQmDMp9WHK15T6iR+AUME0zLxVzDlksfe2KOA62lWIpP
HY8RLctOkmY6IxUxzVvZ0cJkL3C0u7PhRiUbvJsTrDipGXjY/A9PZjcMBMrMjlmFKrYxGPWmB30O
jCits9bMfkStUxw8J5XWuog7YW48FMxQm6PmB0rQmV3XMdn+Gd3MN3luAMQcO/dtaZg6MMTg8Aaf
s8z3usjtz6zoxM2snYoD7jKbu/kaeGeT6rAuMkAtKJJrhnl+dRjjnkGZxzDtArB5iplB9uwmbdRe
Y4JMSjzL0K+4X6+cMaqJOlG/7MEMbqThBMcMtdVlXGwDRIrDaQ27mD7NBD5smNVyxp/zLclZEDaY
9u0429QJbNZW/Wr8AfhbUGTASnx5Lpj77qy4iZ+SsrTTtdUa0z4rzWTYMrdPtlXrfMhazA8GRIsf
hktrBwrCLdbm+rOXdvZse8Rc7JexDmj+Os0b5ANUlXFt3hGwajzEhvVPQoyr/OGvkpeAfBMyx5iI
4uJ3rvKJ3xQLSS48pZLGv57pGZ5yYr54LkrLolMp+zal6nkgCuhZDANb6Z8FE87/JJdAgsIUFCgX
wpsv+p7FMqB8BJO/m924Oweu0vtBkx7AlniFHU0CxEHC1lqLbPgcF7YUDd1/q4bchMzZ/sgV9grf
B+5bKIEXvmLAVCGp346U8cybLfNSxaNNW6Z0PagUpVz22nXq40gO6Klr0aXiRV+Nkt6gjVKrgKtM
pC0hi+zM9A8NGtt40cspN4AaksXnXrlPve4dKhT5NPUcDuQ4m5cmdX9kFWQpwxu6fUOwFWkpIKpW
HMaQSk0gMf586SyiJb7et4CeLdw026I76F0v7W/3reRR4vI5VOtoKDk3iIvjTHONr28+VCaSpRGG
4mxDGmBG1M83advP26AIqQKuGoPxip+MA2TJyVD5q750wyxAiy0wOKzrybiZRM95t8gpgO0M+myW
e/8gzLkKSf/2EyQDLcfn3+hzrsq5334C2eaRGgId7IRWGUecYFiKtb9Myc1idA/mNLibgc15TWZc
cjSF6H8y8eoPmnD4/UjDTZpVzis2YkSs0G38+QL/XbZHboZD2AVYOhK+v4oEY3p4rglNHdscjSpG
kTGIYsDq//AxVyre3y5C4KB45BVgaTe/3EfFwNhpI0XcdDzDvh8sz9gDC+4301S43y0O8KyRuVpX
ZlRtAKy4DylF6LShMQ6yrrOCM9anHNkML4uSVXnGWA+JJ48WZNSpeFJd3r78+dKYX68N67UwJZFn
rEE+vZ8vSLsG/DkNCZ69obVYFBarkmtP0BwEzoGJjWPIS5Cfa5HWgAquSITSEutkKJLj7MxwUeB7
fsosmP4rmvP/i7T/QaSNG962rjfh/y3T3vXZh/7ofpdo/98/9X+yZ5z/cBCs0TsjLYYhssnfh/ai
+9//y/X/wwy42ayWlvMvZdt/i7Sd//BMiCY4e9DTXkGO/41vvObS0EYjsIaV3UQz+u+ItL8+cYJP
8ANhoiw1eU+8LxtFYKWD2zL7CjuZ0GhdFpzniYV1/beLcvmvbe9PWnARII9hK4JbQ6Yhst2/rkgt
2tqMcHg3dJ18+DYIw79KWmJ0UeTA7+KSWdmfP9D8uv1eP9FFwu7zSkEM87+8/kG55H6f00D1zCmg
xwqzJkEgBv0YwqFNdo5bpo8+KTj7LvIf+lEEBofFcvlWzaCoRBNkx9ZN7KMJwiJk6pcdg7kYT2W8
LLfmlKt/SNH725p9/b7cckdK0lnR319v1G9rduYhzSGnDm5hVJef48CS1Xom/8YjGWxAwvor0C8I
M1K//tS1WD77yR9fyMdTO9lfoRt9nz9X9dRh0lnqX3++nNbfnxO+HmlH+AyoaICz//XreQEQESxs
btibyjmliwmgLJW1vfHaMbmZs4ktuQJ3coM+hh6TgTusi62J/pNHqhvOp1drjssz3twb01SYb417
AM+kpkS4nIDfNkP+ToFIgBati0tRW/X3PjYhJc2Nevjzb/lXSPjvldn1UvserxCtBviKV9fE75fa
T5dRdL0tQ9UXyS1Qdn89TpMVbyblJ8dRp32+Lm0hQ6Nux0/EMHW0KsoKo29VdnI/uYFx309T9+6C
4MbwZFa3ZW7It8kkA7CVJ0+Tmlx56QAqyIjPld0Ph65OkhBp2LuStE/SSL4FuLXuGFKvq2o++3MK
jm0G2EEL3L0zywqjpxEt6sp4lBVzeTPawjVxmT96uMhm34FzP9onrUTy6bs6ZnrZ2+pGug31VwYF
gV6eJW5o3I0zk1FwHZsaItXbn6/l102WS4k0nsXtWmTazKH/eil1MWZKWY0MK+qQG1I4l09wpO6t
o22cuFPL84rENCCSSAjiPqC3b/78Bf61cny5md7V7cfgg0xy1/3ynnPOa3PZzjI0I7tka8wrkrlH
cQsud+fZ5i/MV9O5x5DcrsuJueW+50v/cptCf3dU052aeKRPY2H0Pow1LUbPaEYiHSrPRGJrq0ud
ECM5DG08oXor588AzcMjSIv6JiiAGJp2Ht+qxY1jKmUOgnMsplvCHrJt17viH57cv9UHXG6Whuue
hNlH8i7+9XIrX+Daur6Fbd4MdzFZXohOqXMOqqr1xZjdYNtgkeFgWmD9avz4xlaSEzucIbWn3PKf
ZStnRA6x+DfdC9cHgarZJ4US64LvfnkQkIiVQyFHFGxQbNag0X8lw3yg7TptvGn4N90s//qwADON
EDYk9K+JozUb1OjPnQwpYL03Uc/ojwEgnf/8aH2tor9+ypdlokCa5La2lmFup+lP6vf6du4rJixk
28zbP3/W/7C80v0knpLIBOnwn3+9sbUxSibaUoZF5w0v5sigZyJ94x92YesrrFn6JoWDlNfIO0uA
q/nrx1gsuf5cZG44SP2gYHmsSzHvmPLeT+VTHaTnqSIOYBo/J5S/ZKYY58UsohX7ib/JbMQh0MOR
qiROfe+2atx5cccccsI5rXCqzIkIVRrDoO8ZDDsTYC07WPSmHJufOOr/4ZTz9fZI3+dUzV4JCPpa
V13Pcb9tmIuzkLrmai9s2HY4zkJHcgHsbWhoGf+wyPztsgWCvZn5qEsBY0r/y8OdLABBvN4IIG+4
zIPn3Nh7YhluYl0VW7uN+j2XOviHD6UUvK5dv69trgAi6lEusbDhcfp6u0ark1YJ9TYkfegJ21wd
2jE+mCCaxje7qUsXWlX7gNb6QMfpnaZWtvU4YX9k8VW+Q64ptQ+iER9tduReWoXllbWl2aUa3GiH
Lh52/ntkte81zZdUjPXK9/Fjo9OzVk3R0Rgcp4PMB1IEvFZcaI2pNXnqdNtmGAeGLDi8i1lsAR/K
k18zKWHWdUs/qNh6E2TUACPxylblPUrXAIcx0eNsCzNkTdbcQ+74j3FQ9+fF/XDU8kk8aHuuoORv
MPTGby0atrNBdMmW7h2YMc47SLGYiNIizXZF6pKNUDZF9j4vhrmZULMn62Bqh0+LKJmdkzgBUdGI
dd+n1IKxJMontB4X7TP2rMkAic0fsJV0CDqQ2Y0Rl988KVMUo4XUW1qlOU3eQO2nQpZrQMDlHdlF
+cWcXJKNrKzpQqik7Lm6t362du6fStgF29SMTY7/OYHGgcl0bBldmAsRm8Q3BvxjmCJiqoDOrKFY
PkrYZZuuuTb6KnLW0Ig2yXyj7cS5j5KhWXvpjM5XhCjl9nVSLTursPeR+9TDMJwnZ9PNVvBrHu3b
fOyfSE34iXZBvqRWnW8Bo5Zh4A+vZdIcUUS327bvBtAijfnSZJl9P+Ra4hxXdcnfVdDSCZYAkndz
XwYLwqTePw05I9FOMTIiJ5DuHUJfdw36fDhjB5l2Jiknl45Y48+q5bb1Gk/mKkriX/7QBTRQo3Yv
GgadLd6ytwq92+uY2rsq66DkpNnkX+q6VPc49HHGTzFjGdT/DdCRbJifi3jp7u1o7p8V2IR1Y+j5
yUgitaNTl98Zqon3y6SNh5xC645OUbLO8A5tzKbEe7W46o4jeh/mdLlC2NnmhxGZ+lAjLL6ztGo2
CXdvv2Qo7ZO++K4HOrzZ9ReOQho7pCMX8FS7pX4Spnk9YaNljeZTREeY7lk2ktaY1z8iKCVPNM/M
VWP34HR7WIN+k5tHg4nCpuuabkPIeoH9Jpb3XjMmd3lTE0erCGmoYRv88kU7bY3BmY+l0oyspP8z
aeR7xRAB9bNZo1XQVjq9eq1X7514NFbzTPs6Idxz1bfJciB1E2Gljl+1al8V0pyM7BBTfy8YbbzE
fu7uSzQ8u4AxI6qyylpz8mlBxGu5QTrh7jOtULAbfgzUiS9FFjuYMF0ZJyCHgALMiP9zXj2wwk77
pmzGAxMTQLBuFe8s7wqGHn7aMr4paqhlLXzFalUJe1pn0E92Ftizx4HwpXCYBmOLFMu/zn3BZNSG
/2j38/fWl/VDoUf3LHtWBd5BUnLsdDiQDnVZlLDv+6Tknlh9XW3wmRHhYrYjL1WXbJNgRNZL5tVk
1erWy/CS5DZSOkBgUNWjJXnubPrQuY1WRYiGH1g37XoGCIN3v4WThChzJc2EUNkeGMMQy/EuXaLi
Xs71yGjbKEMDudUmKbIdguP3JoHaHbtZtXEM4GSdQJw1BMMGzWp2hwLNRtAxWT/sMesZgzbZpglI
E01hTF8so8QNFXG0ow1aOi921KB/sGOYlviSkArmZ+j4MNyj+cZEV9HbpD/n2VOEoINfrPJ7WxA9
Usyp9SmWqXhQQ0al74+Ls8taC/iDXhBKTto9awt/SqWSZd9M9qPJ5Bxer7Xq+2hgdtGTc636kPzj
79XQ3CQIOWBif8eecUXhDA6kGdfaaUM81jkRzsk0nCry0G7Hvr52YqGNv3Vk4SBJQiz4LeZ4NmAK
KlH0wiHkdL3om85kqG6RID21eXzXL3iWOms018loLxZBJLiXjIYYrR7dtwEdvHK2LoNUMiwjIAo2
Hugsy29q2xguhpk2W1iEuLeQZh2l29YPjtvcgzeH1Qmd6iN1dP2xaJHvzMhLX6LKd8IOs+NtGmn7
jW9dh22fy7sK2dKOPviySwilgfZrZMfGF2hlXHZObc0N74UK9kPaY1npMo6DdP02bYz6XdmSQcMs
sQHoXJxQ+ZM20LB4o4i71+avPKGPgE9obp/8zkORbSbqYo3F/ADa3b9RusDXtXjZ1dw2h07RRa8k
Z89vfUHXMbAK84FE0WZXSYe9MLGynaOhrVynephn2maLN9G7Ol7EIU2C+pjZMdttMl8EMpTNlAOJ
pbPThYJfezvGs7wBaCZvI7uXIUwagUUqSe+LtLOBf4z+rRPEfSiCLD4N6IBCZs8DyP3sU5VN9pTI
UqxTJxZ7HtGw6dvvfikZq8DxxYKir6tLkCRmvioUZTdsrPnQAmq1DX1U/Vlep1CtW53HIm1WsZr8
bm0qNwoNCCYnm5zsh25J5adMm/LNuzY1DcN5mSNHbuoEnVfVdMNO4hCBd7cQa4O9v1oZjlvCDsIN
GNgAIJmc2ptUZO3aM3TzaMgBOdW0FMGw9ZRMDg0qmK2YmWgXJiTDxSl58KNOG2ozVa5zyMhoO1S+
wJPeeRefP7/qJ8O4B9hanJa0+SSl2wxFrm0q4EJXj5Xu7wzCXrFJ/6p8fYzzJb7IPHA32NyZUIJB
JJeI6xx7Kc5QG2E17agTsZ3hgIyYQi3aMm4bUVOYMz4nwwzOoxn0565r42dOeNjNgEWZ2wDwYbLy
2kHfOeRKvXjaMx/KshPX+bU62nE8naZpaj9bmYoSiFWSPI0VX8YQjvzJvD5A0Z5Uxzwl7MMiD/1k
Rr6x0QzbzVVK0beFpmqjXpzs+QNzmXdLUjPa85hszVAHXvWgKq86JE02/CzGye0h3xvqBkTssGuR
uCG/Ipn22UDOBsuFrFKouuzXA+0f5rsuACsHdQ9bZd9ETw5uWW4+ktlVC5B/Nze2LKgzG2xRTWJB
f22t4qUmAxSI5lLEG90WBOgpQFgRzl3MoKumzoI7+IjD1sqNcUO+ijOx2BjyPW7YgjwVFe8Q5jxi
OQzUdDmekdU4lsEpQFfPlxcumspgQRc7KHy5cM+N5TwRsUHJpFt1VnPSnrIBMLK7fHcIk+7B2m8T
IoqPGvvPvu8X+McWL/RSXtNbc4Bu9lKH4L0qqGBsN8JCXbsK9NJcW0SMDEpSkhS69VvL1uYWyXSy
9dCPHyH1kr6my2g6DMm4jUp7k5XwZNhdsRWSUYFCZK6yG2NK1Qsac4IBP9ESPvij9aT94cNk9u3P
8TeZt2+J5WASio3yvhmEv29FBQYSL/JtMfh5tynqlBwUYTKarfHy3OG/0hsP1cq+LIzepBVlUSf5
sjrhqOwe0UHlG7P27RbgvkWkbJXCwMbUImGpVuCv+Qr9pYlkfF8E02M0lfYewXv1Pi1iQQ82CntP
a2n8OWRR97gwpd/NU22ElVLeHpFjjIqMbe+z730g6Zif8e2gXIoqW+14k31odbq+92FX7wdhxu9V
DfBem/gd3TqupnUcHO0qV/dkBwe4rwIyvuDaKCxF1fgi4O2VnFUGG2RtDLTLReb3OQngLkwv3fQX
f6YKC10uatPMBnxOypjEASwOjgxJchZS/7e4uAJEag6t1lBbQXk7oK0EoOrW3hZDhIecSXQsuU5t
r83UMhgyB/4jQ34ODB5Nw+dkmZnDdJ64oUNQ7zREFl7uPsCbgPPAiZZ7MxsBLZbVZ0fTcTvZnfjg
HbbC2R6jfd77y8UYBCJ6JBCUwb2uD3blGyeRYMpdiUnnp4JUt7Om+ADnnlfoVop610d+ukltx7wp
Yx9skjhaZUuARx+n4PWa5NEZjPpxkbaxBvk336cly2lbBu496VLiWyKL4IHpq3WyPLi1/JXxj+tS
+K0kf/KxH0v8HxS55o3O8PviVAue0V92T14e5MGm79IfLCzFXTKM0zO2yDQDP5hDbADU/G1EHcZv
SPJ9EvsLZsk0vjOXGAgL1qpjnSn7oOK+u0tNhG0w3ePXVPXRGe5fxQtEC3Fkbn1TUrC9lgGOd8bS
QbGj5lEK4qhjhH45MZQdGAZfuwzpmcbc8JI7NOYmYy6PNfKVgOi9sb0XbeLRTln+k7ozaW4cabfz
X3HctbMDCSAxLO7CnCmK1FgqqTYIDSXMQ2JKAL/eD9ttu92248aNsBd30/F1VH9SkQQz3+Gc57Tz
oaJeO3lF7/02Utt6tYCIeHB4VB90kM0VcE1j20fl0x8nxLPIQ94ylF1VuBl3OguqQ1KZ7GfXle2b
zhBRbh2LxQFJm4sVbijOsx8D29iNHcxy65YCjyNSHBqbIC6tW52MyUXAydpKVTdoKtpxJRwJhgvs
5j3XZLZrHSJb+ZboGMxjMCMwqaofAn/wmqhLtYGbStqKrvpL7k/QSQOfh3/EbN3wEgSKmqb65l9d
b01CHqVlPgc+HnCBU4TeKlCPghzMjY8Qb+uStAOIFfLbD9lL5pWWRX3HH+tP5NHTdlxG+04it6G9
p+C5RK0Y31USYTJSQKu2kVR4xuoK+OijkyQ9bnuHYlcsM2l/tYvgp43nR14oI/SmnQRNVensudTn
/eR75SF3hOW8lFHUfaM8L2itGdxVN7YLAQzfKtKtU0gWI4E7kfTnTTHnLQCCWAtxZymvD05yJvkW
O4J6HcqpPDRL4DwWixMeUpHifSnHGgAxFX5W823HxrKlzzR3vTaao4Al94QDOA2THcrQZgMUluLW
X4JmO3ftbN8ypcZX6OFo2npBjSVeGS2Ok1Y1fpKw+wEzIltDYfNWRvv0aSKYvpcmXEqmsK65WdDq
fyjZjDtgE1yRMzcsVEJyQm9LCKo/bYib3zjavbO1KPHFS9dvQ4SRH+Bv099wFXIM8Nm41XZGrN1e
VBDPl672ggZn8lLsRjVat0zDYs5zdFV4MIjh3uiobu5SEoAvNfaPX7SWtIu+0cEHJoCc4TYH908t
gxBDnWPgMiQB/gNEeYC3jde8dToEtNy40SsrJb5XY5HS6KX101WTdhu1Ks53InA+CgxKjkE34PY4
TRvmmftsJG40x3O8LIzAVhXGf6JnfMjiw9TvHKuJT/gb5V2u4CavsnZoiSkfCaqYq6U/EiVmbxuR
tv22tGv8QeBZDhnX10ucYw7ihE885GtGdjftkuXvNeXS1SJNTHljxScdDPK+6TKBERKRYID3S0Ri
3U9QVdfTNEfdRvko3VyE4OdMShoDuuEPG5MzgsAlxtUw/e7k+LvtBDIcPH/IjSR0TqKyAyz5O9dw
hNaqGl7aJo5vANiGt1AN0t+jXyISXkiyvTDZ4mYoKayR99o+UcRosLZNi6VvmRrxG2FhhCjfd77B
S5ru8/orwAh6Bjr+hL9LbT2UMsQ6jSSi4yu30BhYBFmtGlSCazfixRHRSwu+vKgW4y0Z1OYjJaYE
SUMw9XdT5N+PSa/OPWew4mVFm7SfkJOHUH9PY6+XY2vcnlSq+c3ip5DULGAn0pjke6+fgSZxROAK
nZdfwcAcLt4Te/LmE1t8Z2nfeYUvzSvnGl4xX+yP7Lgwl1Wl88LtRN55ouFGRLO6CDmZNbVMhisq
DzZaLmfiS/QpJFaKNCrdfM3FxLitHMQ+auh1BY45qCumR3GLhx91MfrzQEh17ChpY2wHoU2wxcSV
jHh72nsQYve11RWbsvXghsSD3aAyEtXOclv/WPs2oApOOvkE1M77ZJSRhRuTBcg3SEY6LrJ7LKM2
uZc2c8GQoE56wME5R+Sf9BnPId5UwjeCoJ4PfOI4hxfbZekaGJ7YJDzVY/hqhOO/JAt2rHxuidgM
FkK7iY7fKO7eG+SxzjkYB6SblCuvowRpX6JrX1McNFt7Gs06HcmZcsPQnCdD4AmzBDFvQydhW1fR
Xz0AZ+epG814av0w/YxbuAFNEbXw/NhigRyufpQkqT/HgIgfhYj9F/b1NS1RGoEfcQesRxBeavJj
MlDlcASCl+AqmXKawn7CzBjSz6bRmhaoOcoFTmrj4NdpzTVbS+djhbWfRyV0ryY+cpy7Pdc0AqLU
t5AMk7IClvaKOPfqefzFMap72l/0JruwNpT2SLh6eCm8Lddwoqbcdak/PPao0w4F5T2aLcYjhrbL
RqQcKiMe0mLOLrquoZHpErtjTUyqMcq7nVx8WSaH2B7oJduosaMH6oj+aaOsuU+n+h4jk/NDTtGq
au1fae29h0UIFrj2phTJ6qixDS8lorXWW/dzcfZAfh7iOLEeEWs7a+TOwQ3e6OKcdvlzBQEYCeeY
fGtpyye/hUZNoEV0TClBtkJD7LDJsQ2w8z+a0liHoVD5ZeImrYay2nbgzB9h6MdP3lKW+w4H5c4u
mTIz0HXOhjzhvfIglQxdXa1YhrwNQWuRpVAQ7gyOEcuRvx+IjdyQzf3d0618zWTtOY0g5Xke2vWk
Fh/hdbPKYUIfLbsmKoSAhD2ea2ZDkd/D+2c6gOdzSZ77YdgtrEMdXfEZs7LdWnP36XblcoqNce6C
oW/xg+IFaXAYIdhm/rR3I2vY1bklNARYOyAp+U4rTSuGaRzVqiJnEWh+g6ib1XKztTSx3C1qkUZs
w6y6jFjz3spQfcHUiPeDmOQREzr/dUDyOjjLdd15t/bSHwRO+1Xdx+6p1SghKXjZHZT7OskeajT6
H0mzmKskmdhfc+V4TON8YgD2Iw/BiDSWv2bxsL561ElcH5qjA7Y8BstMLzEVX04PmyJ32l/LEt9K
SAfQw9O6hudgx2TbNrgjlC/UrlG0QItKj749d0ggQw3Yra/YZFF6+MhWCddqFxpkIEP+qnZUhae9
hEJ0bSeUDKdfVRB6p3LEjubUHk37MO1iztyN5ZO9uylS9VETev6EgwcPUZzYoFCNsL0dmTT9oZjn
xmXWUic3SqSkSzqlBJAxShG/E1iR8/VsG/w0kGSfHfh59Foj07Z8Hrc539uGqHXc7kEwhzsWFIwy
EH09RMKNnmAVwEMawjrc+4F9DBXxNAHWPK3slD38aMx8GP0lfSermlvRz3ik2lTW2TPInYyVo3SS
8D0muVmt0BX6a0uT3HzyUvoTALSeJJwrzPKHMPaVc2SbnOGXGtiPsB/Nbgs1LuslnyZoSTYzUa9H
0BlzH3rwg67naehh+GrTx8yM+dPQk6G55txAdJzhaCLaqSKr0Us9/60BsPdO4qP6yolRQW8cDuXK
hNTNHX3d2q6nYrcsvY2lYpYkICquezKbmUak8Ui3GDWoSwLRvjIobsEoGwDrU+/f+J5ihg/Z3nV7
bFpLcQF3S9xro++czMai27wnFlRn9lx3pDbCN6ruHBGfIMiLJ1dek2VhT8QPioLkzBOXEBqbaTpi
+NtdTBzfLL9aNcF2R+V6IIo9Zbs0a5zZCPrK8NcYj49KT69I9qceuxdlRkbO53HCNx0Hcb93q7a+
oCgO117Lg16mDBtjZV9FNnJ45O6uuCFzpmRZ0ZRb2gA61V64aLKLZSx/L6Mq1i0kLUxVCQ7/xMFZ
GNEzuaOFyoRUy3UTdgarStX/iKHDEsrjMKQulL5k6AesIj93jsDUNflyI4OEIUVXR9Er/UJJRo/0
9cYHaHQca6f/lcqsK9etN0+nBWo12QSYwih8U9bCGu8O6YoxR16C8BQibhaHh9mSw8ai1bE5f8r6
YpE4/6QNpkpsomBJLMFyRGVvXSyuenROXGar0zmtVUu2y7S8zj5dW7lmlcVkw+NhufPa8tUY6TzE
C3xqPP3O/AvBcn4YqI7PkO+911kvkuEXaz1KogVmSTaH1nkqhKVXvs/bgB5M4Cns4ujOYTT0SW9K
F0LC1iUl2I9BBe8f76RIfLmNlCx+0MKBIyOUDJjS2pTSOrmhYF/QjfmPsseJNTSG2EPz0nel5h2M
f7BA3jcy8A8Fu6TtsBBta80zlHfVQnioM3HnxKwUOVfSHwQ7FQg2GjqTkQdtVXhW+10tKZZ3P1+5
6bz37RaValFvwYlxZTPIXy9BygQerCD+kBF6QpAMK9duYGLNpU2PjxjF27gq/bAHIOeIGhtzKOk/
Xy3oLCjwXX1Uma2/qpx57GayeUBMiplvVUIleSqUJD1Yyz4nGZfoiXBZ/Fs/CUpM1l6H/5thXbi2
3Hjh7+VrjB1e/AB2/dL7A5XF2KQ3bE5YOdhlcZjasABQb2EIX7mlWR4XAg8PCM9Mt7HhoByC3CIV
uIJ8QrWSZa8kxqefi2wlUl1pP3lNBNCrn5r0pBaXI0z5432fszYb7YhGrrbFqUjthpYJ1M+xtUeX
FFkyoC6kAls34wzHnBVaQxpugksbEmxBpg+lmO1uQOuzsRD28JJ3Cz7BYAm2qYfD3QQSHkVoHz0f
Uf/KJGpPvumCx8/r7TMdHAyzlq0iwAy9PFTNVwfe63ed4xxt/UHc5teK1yx2+oher7444TjgFSuy
+2xZvANfJec+ZBz04hKFsg1CoTbBuFT0e6pf2bhZcdzX09rNMs4tMDa3yIzAlvgjtXOkzYkTd1qP
1HK7gVN67xEfupprQH04bCP5s2DcQOqTP2yaPEw24Jo8EmnD9JzLWn0CefYxlC71FaaXEW06uIAH
E3P1GSeD2TBDcjbXANFVk4v+tU0T9SR5Ph+SRvIoxU7P3GGpH3HQd6uaPdSam6fbZByyDKhG92iR
kMs0JZ/TTZArCPhlk++Hzut/aoi969pyWOibCmUbbsWMV1yKIYFMUwGkaWKfcFO/Tj5ddLRvCrbe
3WzDk2CdiJMKoeKqzuCjB+Qarm0r9ninCtD6lTOfEphtrCPqkU/H1Dp4F0a8VcH8Ox5956xC554H
imk906Q19ILsPhHyyhLM2mvnAHpjuhBrAzayoesFlcDhmcBq6MYDj7WmfHQYmZoySI4yS+Mfvra6
+XoRjdamDgGQrwXvLJKBJbyFehgdlF+2n3ZsMPFXjzDg+jstSkwF1kQsZS7GluDqDPlM0qfRQ8yw
6ImnK/2ZV418NbYDCMPv4i0wlXgX1dFyB/GCnBp/oL+MZiA3ZAVZr6gu+x/5YjOYCkBKrbJFBsek
BUGJaiv+HcZLsGkirPnEaMxPmmT2W4xg5Y7both6Pkw3jPsN/SiuY9Yv8s8ueVhPTqVPIqP7suOi
uFFzLI+iD3siSVI2JksRzLvOHZcLgxbiuZNcvOdx7L04HYV2RZN06ETSMYclpHFKCT2VPRgLexq+
RAiOhnBhqK6+jdWOUIX0NlrMdM8TWVBSu+1b7Y3ZJ5YLZulJvDz5vj2a1Uy/02xm1scoGDZMjVfo
G/lnzpTkeSbweADOT0TB2hr77klOZXdx81qrixVU4w1GezhJSphhq+i1DjpN2KAvuXU/Owk2ROGV
8hDKpNg2Xo9GRWLo9QkQfY5Gx74kTU0hIn2GNoVt+D7z1WvijiVmsBRwXkokJAIJ1dLVZ1GLH34l
fjtIO5/LRujHenDhYsGrula19bh2U7ygoh3vZkIon50pHx8F2cokmD4YRq07282GV/hP3b2SzvQq
MDNuM4QoJ6dOg/XgR8Mrx8qrR2zdeRbX+sCU+cXJXftUFR1Yr5hQ5Jjw6HWkxvxrHKNupw3WgbYc
U1oVi9MBgdWB3jAlr6KxezLvgSYcC7/T+7ENlrcy1u0MnWCxP0tHUI91Da6tgjr5RAxAvCEblrms
C02s8/yFJJfBJjfxKo2oBvAjTtwcMfcz9/H6fev4w01jYFAknpSvKiQ7mYHmGJUrDYrpgWFreiI6
y8GF1mf8VH/a1Y2VH+OhcO4bX3fbMgzlBihGcBokI42s+jbMawDFIMOMsOJRRsMOmsF/ryCq4Xbq
SHvRHlNjL4jfgiT5QqX0O2DaCpnV36URTBQfiZruPNK4Nc5MUtjJ3RD7Km2LVTkTjZHP7iYpR/J6
YuDF9cs0cOxMi7+ZChZDQs4We+Nky1d2PUh3M6a+PBbj1ZsqDyiGMHKMyWGGn7JWJkWBwFaIPOCJ
RVaA7Ql/N/BTWxwWS98UjnvAb3Traqbfs/TYCPEjD10wZTu3h7vJxj2lmRyG7JePR3UnCAs8kxaR
P9nsv55VRcdYLymj8LKW+/+8XFNnW1b3W5+QvneRJO6ZFtjCpBjn+wpQyo8/9Yz/rx0j/4GA/VdX
B366v8k6r/EBf8H+r6kD//ov+/r9nz6QP/8f/8MHYoeeQjWE58kjLQMt9X/zgfjOH3hDsEf8ZQO5
CtLR6/bJv/6LVH/AzPB4mn0bP5B3VTl29fDnH7l/oIAMJRpYV/Lj4C//A87/74L18xezPGTFTJ9R
Ulv/VIb6IAxUYcwW8ztR6CZZduTJ2GspkdIgdJn+DQnvP9Wb1zcCnjrmFkD9vB9XYfnf1JtF7OAG
LggGWtwOo5Mbf49LQ2KTAarwt8/g/2A9sf83iTi/SwUWCF1MfcpX1j+EvINHC8WywmxtCa00LhUb
Qx0nEqao3ZzzKB7Pw+KgKbR7oqR1G355RT3eo9XLj2XocthpgbTLmg3blnzocK3lYdz+ZNnCniVF
DH3xvFjeDJbdfcwG4CtaEJ+scHRu6CShUU7+yjj1bxEN1xFvLp8Z7vfjzvFTTUyy21r3aWF38bpD
h7TpM9/93XsJEhZEXuM66EB5saBLfgMMg/WCfWVTR8Vyz8Xp0ZjomWBd5M/rnMboIQO+e9KkP4wc
nDBAVnkCnWvFJRH9DALsnzgKNKcDOl2fAUkw+xjQYxJlmwXV9oqalCSxITQx3n63tVHu+2P7XWYo
PfzOO/oxz4McB3vLavu2mr3nCmFqA67KAQFAnPMptVV1j8fudkpszMuRBb6GyExRos4KLPsB2WSF
6MW/JaGFIN/QTla6afXaCQVplgkuHWsgTSWCGoaUIywSUiQBH6WsELaS2cwNTeFrGqJIKSc338w6
BXXnE6hAasylZwC9AyVBsB0iG0eCjFPodkcmzPs8th9kS0tri0fCVhjlYPL25JTsA5+JOIymo63l
uM4bh1/ftmxgZfxdZZyiasj4H6DZGITWBxQL4Zo0wgqvcwdKxeWX215J6HpgPZiBnm2gDF5Lsj2g
F5zLKibazYs/DLfQSqKIZDIr9qmxHuq83QTXdzRn8rKJ3OSpl9Bmrcn+UkN0K3MflDFTFkIg9xay
mlVqYiKqOuchosSng5BfRHvvnNzS63Lo946VfZMAkWMial8V/8IC5+I42XceprdlH9/ETU7I4BjR
oyX6KcaMLhSE6Xk8JVG+7x1xmxRtum3CmeeODDcAGpHW8W3muMaipI+6O92rSyrq1wo41ppbF7KA
Kchqn357A3598qS8XV7y4bVEMrDNYvdM7HG4Jc6PqjJALsfgOFuhzLzYyIgvTjR9JFH3c4ptb6ts
WCC5k4Ppi8Rz5MS38FyIUic7nHXxFdXq19DrrnHFXoxtP6/ZC9ivuRXyApjWo56sVoVJP0CFgkwV
jFk8Blm9z9j9WmmVFr/ag6JOEjlThLZTZs0H+5CUM1HaRDax9iw6Rn18UXOiup970SEj6vxnY/FK
Kx+VQMXnwPT0g5jTevv/5do8p58tdoPv/n9Ntvnz+P+sue9TWAv/kdJwGMZa0rsmePzfnZb/Bert
+2fyXvyn+/b963eX/P2u/Z8/4K9kHP8Pl7iT0Aocm5EsCvr/ftmG14ybkB2LYl7FyIWL6a+71g7/
cLma+a/xRmDBuLon/rprbY8b2uK25cfh5cSU+e+5a52r5fPvwv4Ag2/IhMp1HTpUfDz/uG01hkck
ncl4bNM0zg60Cfmd34EEgdxDesFqmoYiQ7hToWfymzZhfQeATgOlI1lCBC60Q2m3tFmV8s5cakB4
xynlnx0M8rclbUL63mCa2y2AofhmgRyyq1RrW9urcCe+1EqV6UG4c/PGJYwStZZp1a6WSsbwzeOy
YwXAKwCIFLt0av7VCd6MbBKMzZEduB/NAux2G2mX77lgnFhsyJlj77OY0DyEBCakh4n5w7K2QTzY
SFKzdo8chzmaGKsxuHdsTSys2zSsx2YlY2gpjvvQmwndM9Ym7iSkMw2yOgRc6coJSus7Sa162QLF
wsnmusJ9BE3pIu6MyvhVu4U97ANicz8dT/T3sHwipmAATtYBo64BwIY7vpOjiZ0hUCUQ7sZL31zh
dSDL6ZOJtrKsB4jX7cZAoT9KCXPGqVzUseQc2t7KwYXx3Hv2/CpNzI6c0DP207ZVpwfSlLh7naUF
Dc+Av2Qz3jFesDFunM3EZeyUBbkni5suFyctB/lkt7WD2MmddbwDHO6EP8ce2cys2edsi9DSw3qB
83NVVEkgcCtYH2161FgLrTvmUAYhtV6cLtxlBUO45y6ZiYLorxdW5DXNK9dDvu0YCPBmJUdqSRDZ
xGDASO3dE1Y+zYTtKmuX01RhAIITKe9wacbIUnzG9JkhEAFPPNO5wZpIbba+s1nP2yrPmXZ2dnTE
mMH6tsEk0rIv20UDYw/Gagt4Y2Rx4DnUal5cdP65nKFyKzDyQOAN25Jw8J/GcDpSSMkGIWcUMhgc
yq2bRU9dFnAZFONPu3GoZbzqtuX5AE6ovmRZHquxPZoprvYE3JK+3oUEf3I3b52lr86x7cCS5rF5
LFmbHb2JPTlXFm+dBsBRugDaQoTEg6dBDwoXljM13BIFZ3b13Tlwa6QLhFncFgnbXuJdki937Ip9
QD/7M+0VGy4nV4fhCkvEscIlETJfZSkZ3+VB45OCPtSPbA3rS1vhM3RzRQx8iHF/NSUW+P1ieiLL
Qq/mPo+P82C4VX0f5Sz+Yi7DOsIih4/UrbOPmkngk0Z9tWPRgH8U2tPOiwp361aMwyWhL6sRAm4q
++GsC4/NQ5RYhPDOangukB+PTbsfJ2thy6pI3m3ZKN5FScFGYJl7ctFTZ6NYZdXKBi3ergkGeETP
hGPLF09V1fwehvQ+N5LBSCRz1FN9z/XY+cja+JbFgRhASTKo0VNewecJGw4j59kdef7nElE3gO9C
JntJOMK9WBbrd4vagVSY5tR4PqBw4yEvCWHitfn07Vf9aShpzrURfPKNU7IzyBeBexH0YzH0qzhS
YO8dbEZO2vusNevuNktY4MB3A3zHImhtfDZkxayWV8Hfe5dl0bJNClfvqXrMOUhyphxk2j7lqn7y
iMi8wc/jr4EPoy41mMcCd3Ix+E3VQ0sXvAUIhfLAK5fLQqa9u5nLSR0SrKVMlcQ4bLyM9mPtuiRn
zOhKyfGI7PklxdbCsCEylzCEso1YgvFaoq6c6va70Q7j0yHQN3iHnF0iqYV6ifDdy8fyHjCnR+ZJ
Z99MhZN/1E2FnkFlFC4xvt97t2ccj8IvOPAkcBL2oE+3atbBTxOSldvko0n/jX6J1vOft5OyiJVz
lOUz84Zg8w+XKREDOmFogvTUJvob+5IpPfLf6/muQ/jxA/2NyxlXg142jkb7VLVj9Uwm6rxtk0J+
DTHm+Vu8FFJu8x4wDKvPyELcyaePykNyTRnLgIlOkLLprT0AdiSgWSZHhejJ3E1ugeuoRufy0jHJ
xi9mVYQ9orwe1alJl+CMjiu/TwLSE1zdkJBiQeztcRv03QfQOxQzKvF+5h3QlpGps8OaRyiCYjU/
fRXhoT+HJKAdjfHn/cD5fqJvIeAnKZCdOeN0UOw7cfszYgxseH0O+wG+9lH/ErIxhZwoSGAdiM9e
1azu1z11yEoig8Dzxr3VB3Wwqt0FUaoJl/mANxtV2GqUZiwAHNkYVaaA5qy1ZlXeAnMKcGV4qMSG
kYGU78833RVeWcSoC1nmWdicco/8urpXd+XcOffw8GO2ZjPr/hZuZ9qwrK3gE5AZKuu7MiyZSg0i
uFO9p35iV3UQiV3ltoijd0lfIZyx5n6LbRx9Vhw8JSpA6ax+Vdl8Agj/jg6XfQ6tuN1Z7qUhrXuE
witkcFvLRK6JKaNlybLuMbFy2qyaN456AyHEtbKujSsOFckyKJeVvS0LaubBZ9gqqkfbDOkFzwjC
aSYt92OaHHwX9jjXCpi53iteWr9hstUpVqKLPxD9ADR7BIVFqGhYttUrwCx27HbzwXhCQQd1acyW
sDpIns077Wv5hBj406/d6bFO+OY5ZhguXa86uL4sMwWbSOxBx+soDfj+SGfyVcxu81q4HruPAKWx
uw/dkfTSpRltDmWlpp/hMrG1DJmRvs90Vm99VLrLk4qIT+bv5+uZFOpYv0nwZ5eATckFKb73YbII
ymUzDs42Rof7MSY5qZylhwaokr3ah8JCkZmweLDLzHsCON1/OkQnrcAFl092NQ3JFjHBslcF2LAC
SuPZB+5/HuqBPUdEcs8vVQbxo4UU78wYgooAZ866H0xMP0p4sOeJ4FnnLqQptj3vVLVghvwYA/DB
IN+4SRE2slUSMrGIBxb5o6k0tip84g7ivzaHbZgXZU9kCwVHt+Wwa/SO5T5hCJxYzWpql0HDgZ3j
C31lyNtpZ1z7hB9vSXfQj3OdlT+5WtzfQ+0NB0ovMlbQQ6LybBBnEvlgo8kgRQfqQbhw+sF2gxYx
yOrFUxmJpnPuXGq3HFmYheHr0DnyOS1dsdNtFD8ugh0hXlJsGvw18me5kB4eaMa4jJIKi1gJJFQJ
eRgwzQMMD0nOiBZSM6ACLyLCwW7tt5l4lht2uoY+f84zhNyp/zpH5ntsBmEx+BrHg7SqHYopri6j
MrXP83n61TosblfRhKd11VVB+d5Zyfgkm8J9jdC40p6X4JdWcQeu7rqiWw64JJ1fS65x3zqZeGNA
nD3Ccwjfm05PzxIU3i3SMUCkUwUj71qFq4ObIcPculYBW5Oo6mGHEsn7HDwXtJ0YemCI0wJeQw35
wL1ap7FB5tjPv6ygFRdjNaWzqqLMCVd2FeUn4Wb67A6+Yf1uj19W2S4p37ku+Aklre1XWWgL51QD
8qTTYIsG9cjMQC+aiWS3RrTwJJG5229B25ZPqLjyo4ki1IkA2RhPDa7YdG6EukyFVGIrM4bdDYde
x7Z/HqeCaZUuZ3zixv7V+81M1odrko85q+1oXUbFeCZ9ql9pOyrbVZH73XIKqLEt/G/xaZ44XnaO
6UH9Jb28jVJvuEkyG/o/oITlpW8Tu9nKXnYHFU/iB7nwyT2R88FHPcn+aZS0UNP1kaR5In+GhyDm
S4isDblnQACPu27h0twuYyOPqSND+p+pNGQm9DFOZ4IEIMPjonjurVTcwTnhsPetBAAo3iPx3Q8u
OfNdaePN7DpLXdiqerQLhTOe9VINb0viOB+xANC545HXv+c+zo+SNM58Xac6fq0mYGE7rGTxcaDf
+IbHM7JliAu9BeNXyY0mTJpUlzEfV22W6xeUSAtivIqgOyQMAR7tKDDbMA9m9Faim3LApgtpEeww
77IgCh95f6qL6SVVJ7v6N6ycchtETlVtWooXmIGpbt5KfLkIVYIeuRnrdmgaMdbv1hXmKk/KzCZT
SmbrzK95HrNmqu9ct0nviGKOgbI5RG4YN3YObZWqjnyMYmQqlOXMj5MUNDYqvD58KSqUFSj0/B+S
ZckHfQzZCxlLMHelGSTOPAppe2nnCTtq2ofT/dyaV9uynmCO6udy1Ohphqmq74aCIIP7MZ+Sw7jY
6p2Jp88fzQW+ApgzR82yf9tMdveKILL7xl4clBth6uCptqbyaXGz+AXpHzdRPiKUKVtQbQT0BORa
VZDPdhTC4hyTZ6B2A2n1RwJtBA4QJ/nRjp59A4yzb3FbFVa2DweBhDxGLQsKO2nv/GAaV3g2lkcv
LSekCW539L0xeANRNj21lFvTRk4iOtIqefFOTk5xrKg3W5yFc7lZBp7OtW3PtX+nZTHzBWJygrpj
nEESGed9nKv2OGgL8QwEHkRR/kzSe+uakH6yoQJLurZDXKnFdC9aU65SoByfpIv3X3FT4JYasqBs
N+kwXitWzol32lmccLTw/toGHrMZKwG3gYQgn7Iom19wN5BkyFscpqswbPC4Ok2CVAP5G+Wv5ouN
RmlcnI3wA33MlqF/dlWRyY0bTegBLCI8IUcLJmtSuvocIFfCNMDcegiG6bWpnSi/K0Xp8Qy313MT
iMrsbDjPnZNGyV3eNzkb9y3yOAiQkwafW1l+vawKoIbbuUmumvSUlML2mpm4gugSfy7t4py6AB3J
NtCY1ake0JMjGw5atFxkNjCxjOb5xhSjiI8oB9pkG7k1yqGQss0aMtJ6WIz/JsE2OFoirH4qlScv
YTUOMyITy+wNUiWM4G6/99g5InYkeHsR1fAN5XGmI3ZQaqzTsiI2SHeE78wYvnbkxYs9V5ImqHGm
j7Noxkr7apyKr8lBJaq6T9eP4dHD2VTPSygJZLBpIuPQu4Em5O7monC2uJAWzNWzdSmYzmwIAGJR
iaJsJtcpqx87L4w+66X5Ey2qnwprmrmzOxScQ90L+sXeSR8XhlK7bkqKnyiXxkuRu9NzTbDPkdbx
OqMWtXWX+ibYhFUTnbvCUjcjX/jnuaf0b0UxH2J/StdQdarvOvCrO2W36pnHnko4c29k2jkoxaP+
Ne5H91R6csEJK6dDohwyrsi9uJIZKqCYyKN8RR6e1z4Yf9Intk/ubTI49SFHCvhm8cl9RA4jcXog
tSOrpwUEIfPbZqjS+84nky1EGpp0JRAFYzNn6CIbBoGb/IgmURxc1WzLtnD21HYGp7GIsV6p9rZv
+jegiNVe553Zh0mIH5vshU3ghZSnS/Az5MA6/1f2zmO5cSzNwq/SL4AK2AvczSxI0IuiEWU3CCmV
Ce89nn4+aKq6qrJr2iwnYjZlUykmRdz7m3O+kwVFv7Pq8JuGQGaeVsTA3yO0ooZFPaC3ex2I8xbA
JtlSJA25TRaES18bkjdYKdlxMktQGXhJeZFJvc1Rb26bKLJdpXGiNX+eem2HJrscEoxzLs8/DEf/
Yu2lzUi1P8BDwLyYDn4VtFvQsAmP+4mPonD8Zj0HyU7vQp2yc67SHCP37wsUyf3S4iM0Lm2WgeRP
GMU6Hlt716dM4//VCzF+wpjwSmyhATZjtsrfAND8eddXkec1pJgqdmRX4hipm4+AxI/pUnSmrE+O
k2kzIzu2CS+d0v7aoVwif9GJGm01djzfgdk99YNuMScb9cpfo6dkfmbgWS7fBdpogiNqxXouGz05
S+nxzpN28+IgpGYsMQ/k0r7TPmzQG2g26BqfGX8o66FpjAd0JMq3KkA8hhsPCY9qtDb5SH740oRk
MnLEmUephgwFnA7rcOXzQQmD4VLmInJcJrFyhVab2LGgqVzMJQaFhOGf+rzK0Q1WzdW20xF752Ac
28TnOmTJujaG5EU3cvXS6P4ed4uz1OehpT2PL5GlMcnshoYTUlFiPVgxcrWuxdfY0/8agUKKUX8g
I2EcoJsQkG1oZ+fBiklZ8yftWRhqWRJUTZW/SOaCHVBzq7u+Typp2CbDowwMPqfJV3WvfVX68qvq
H746gLCLx28WnO4VXapzItuDPkFrcmOLB3SA6l1KfWN8tRNMk8R7SAbBAlu0s1M8/dG3xnZXDJXv
KqQ8rWKU6At8GASVKHPPAuia9sWZOxm0SdZRzN0NEoRp4wVDE6ycifuZCDgULFpPRzT3Rs7cJbG9
Dd2qSK2NXlbMKOeJ6JLTRPlIvpqsYe63ornzknMPps/d2Kgw3i4xRI5LZjm0a4XEgPyACDh+tfSk
eMf5pbbkRzbG8JyIkjfJyhPrvpnoLze9KZiFM0gvXiqvENmnQshMuCJmzf/RGIgXz//8edW/hv5/
emBh/bCVIJyd/YQGn+zPj0mbkRFhBFwnIbXWEfW/f5f3+F7ryoh3OIycXelUaQ/qKPdWQ5WfyOjz
7oIhZwGqiH7Yi8YvmabhwXKZAID3ydK4v9L1wNAwmZO+IPcpOkTxRvlg9iW+XB3tvD+GPcKv4QRH
GgN/Xxt4FLTuTnNSJPG1MXjf2KOhxQkLsROoOi+E3MMEGUS0N4T2UBjBKdO9s0wG7Q7/dMsEmJwO
1X/gGTfu1XQ60pghaSb/BK8+CUWwTDDMcGWXjtgGYYkVvxEUqNwd6rYr7OQsRKSejVzrzFVOsupN
s0W28btIrvyhxVubGzkJlLRt9T2HS4kGHppKTSXTuCRNKCzlTSSWK2tIQLCXKjbuVquQlqWiyD7t
ti7ngrmlkLSas45l9GmC2O3mBtt205oSV5YDUDgtsb3XgK3C62CNINX7NIew3xBuFKYoArh1TZud
RdSsI3v0t5lj8cjh7BL8+SqBApNIrs/UI09pmbSqt6ETzkJ3QMROIo9ezTbilqw89L3eBU1r8JFq
prdp0CGtiGdRrgOTESYFgK2G0Or2SQS4X1dD7Z7R4sSnkqIzAfZ6QNOpvBG9UKz47TDfK052jcNo
lkZCFXtUR48nwDecRdc3zMzY5ARrARhkaU9Wtx7tsnntdC28IdDTn8igzraeOqnQiruSo2noo8tU
Nzj1U9M4WJxSWAfsZpWzawDvGNhnO9Cix0ytQRojNtDDBYFP5j40VDOhiRHe3RhP6gbln8pzLSPj
rkjzB0xQxbojo3ghvm6iKajNi1Aq/9gDOkFYjkIYuJ2Bh+mcxbNwopiXSNrXPklrhnZael97JnVe
OVVMdWfV2byJ8vAJYX8Lx4gwpUz/IMmTrZVkf6V/bbJqwzLWrd7bT8nXpivTFTxmedjTfYac3kR8
ibh4RTeazJnVQvPvsR9j6pvvsU+z7bGxGYPugIKZt21R3vVIY6uBv9IZGOIY9m21I18zwqtoabtS
Lxvq6tKcdcdyltk2uCiibeSImjAgBhggebBhHIzWoJ7Ah8VMd5jHu7GlvQBRgtTU+DdW+C9hNT8g
oELGwQ73pTdNu6EjXLHQyJ3mVddri03pYQhYEdVKbm0RrdWIlv6+df2LwuIn5Q5CGo3CgkPKBKQw
G4j+fEyh329jRqL2jpiwe1+eyri6K7rL1zf5j/Rj/96W+5ZDpkt/XoTP3+jvm3B0UL9+41my9ad/
WWUNUIALsUfj9XvdJs1vEqr5V/67//NXEdhtLBCBvX+mYeaGmLzCb83PK2pEXBRHf3+3/0FBBjg1
r97Tv/6yXzfbxi8m9D6LPaU0bH44/6Mhk/ov4HUdg0fPZkmtzgvv3/baAIiN2TiKUkxF1GJxsfy2
19Z+kSQEQpx1HH6UNvTM396AXz8J/0xD9g83mGWajiqRyVE1arPA688fjUGrpyyGY7SFKITbD+Hy
preAUFWRdm9UtdyFXsfzApTO8tvvuie8o28xqfrDW/YXH1Dp/EQlnbmADjt8m+wgkwf0ZzSgIX0l
13Kv2/JEJNvGxmBixOt8WgpSUYMDG9CScOgUeFjI9G9kQLzQfe8YUYMsysq4taWNs3Q7cS+E94aa
HYxoKJYhgQ60T47bC/tQkBXJoAt6htVcxnaEQ1Tj2CiEyq7nsa9ZgFj41L1sFaX1eYiHUx97e91g
GqWItVczHE2J444KrOMYOtvQqFa14b+boBTwkWEitTgXi4XqVwz/+UYu9oCRwN7wpa6LmzGH+njj
NvKNcy+5sk2TyBXe2JpNyEsgWBb6+aSuWSAuIHQhWkk1Iu785agfcyVfi9LAPvysxBPz1eihJJkB
wulWN+x9xr44illI2OXDMFivhD6hyx/ie2mamEoIdCFmIne20JGeJfloqIP3gojFPAhJRnpTavWR
yTU7LftYQZkkxnujNzmeIsWFslAudJuXIVjfjm28wpr5kSfdZwjZBRkEGVtZLH7ocvJ2taUzm5mM
lBMR6cNgTyCm+qPitLWLCg1eG5FExige0sQHXX+t4aEINgvuZPYP5eCfNdVkbsi06ka88yLJRqwc
biP6fRkZj6nD+a0qJjOxhzIbfnQpnvBafZ1qk7E+F1XQFy9+H65HKzzoQGzWKUm+qUcyky0f+Xgt
YotgS3oExJkpNXa3GlWQrISUe3DHOmFcKwzTi8FuHzWDVFDtM0/T+1rtDm03zEnovpsP7GnZBhir
CtpM7FF3DA29Y7PUzWaC/5G8IPgHmyMeWZGpBItlnznz78VI1kZeRzj7VWWVRs03tcGU4qkeMD+C
b0W2YqxNhxc8E5FxM9Nnu6qmUxT38XM3pYc6hjA4kIHujPPcSPj9ztSFa3fxwYY1TejktgniFyyz
32MlP47TiUS92iQeXSOAYaEX6oWblKKzn6B5RM8ElvQsx3O3i4Lz5Nl33VC6vqBft4yTOV4qpzja
qlzWVcA9a445LKoazA7ZIa1gWDvM0XE4I9G5sj9jTOKGmRVvneDc+RqhiBQDcldnRrbERkt+mzyT
z8tYxBueC0ylUyw+sB6vyC1nS6ho1bGUGklXfpwsQ2GsSKpxayf8YJWyJgKHlf+yL7RLmqYAcMx1
ok5PDAi3nZ4s0OT2MNDFs4JLGtrbho+GjfdFT3cGon22eGq7JPvuPm+1PVYdCt8JKIQOo6O1X5n8
YuRgeCqwmY0jRUY6nGy93ui4czIACYcOBqRfBt9EZ541j1ma6esnqbb9omS9F0ofL6B8y+JyF7bW
Zx4jUcVONOKsws2Vp+s4yTCnq/0du+donduD42pVdGUwDm3AU08+itJVpp0rMS3VWuWdZynnq8rO
KcIj91bvsoLuIXN0eFFZYCrCOltUn6g+USdkxQ2Z0aZDVwPbO9CYaBcfoJpcsgWeUma3gv/gErKL
wtJCeTnkhzyogMNUJy9rXtsxLdiVt8GysJ2nqR8f7J511CCPg90cct9bwBW5MU87YXp8hbP5pjc6
UynvTh3b13KMn+PRTjdNwZ9D0CMo+arqWHPaoX4dTeUqHd6eVCsxPmZ7Bu/I7OMRKYWZ64sAusnW
dvpdz6pc143NRDacEaebDH6/46N6ZZ/BpDXQjyVLZ4hjxbDUSuc7IRVPgzWwuozNFVvVNfG/bKbN
BI/BLFistWzrTPId39ywKGuyW2WDoUIgW9Aj5VGn4x8Y7q94wu6xlDyXMvsYbZss45T0JjWtiQa1
eTBQoARN/9pJ75yxmVMAsmFLmUNycbXSPmxqYD967u8m3/xe4vFZqJWfuEzS7ibeVsXzjtSFa0RG
RD7lzPJBkkYzRs3BkeSzDR08qDTxgUdv16C/WLGUOVcFgis0lghnI+VoqhYmSz+EHl9s6im5quRd
8Db7QDrbTWnzeSD7L2CXWAn72Epjl0/mvq9RDlV7ETRYQhgh5EgT6Cj2wnptjfjRS+tV2MxWSJRq
bCDLnENIzb11E3ibghirIn8LalKUpf3cVdpuSCQ+JfPQ18227wpGpWAQJUHljiN2aoifP46aRWw/
lF7vlo2JJwVAQPM8Mq3v+2SL4wgojgZErznpfbeNJ1ARttyEDalRVu1tJyWY3KGrbsJr3quYHiIw
EQ2L6tmRlWslTFd7dmNS3/ZJe6fZdwOzaxRCUAOy6qJMOGgGTq4CrKWMeOQVyz5bQ/C9GA8+iWq5
rZ6C4UeK00kl2yaCEVOpxo/Gy1nJEbDdJtqB+m1JDf8j1LPPwDdPhmiI5a62ICFvSOhWgIv8hVXJ
FyfCAdz+gNu5LEeOTnrM2qrurXLgIcxfeESeytHa28lb58SvUZe9+Urk1nF016rtyY7E0sixNOte
cLQ4tPC5omLJGSkN962MyJxOsfGncJ2UxB0V80Pa5T3S7W0+jEe6zBSpubGMpLZN8Qz3WvveTu1L
QJedoNqICZyaquwj/XLSHR2UeRmBVYA7rYUIimNN1mqaaDVQsUUfPujp3uBQCHrX5FhuJzdoUkAx
LVjGdNMbxylydj3pjqoEn+J0aKZgEplEa5s5U/QBkQtszSBWj7mPGzGRJWFp8aXKgBpN4tpinwxQ
qIVp8xocs+ROrx8j1N9GqawhwKBTqLcYSFGrd+GTHdpMnSZ9leE466OzjS0Vl00y9FuWkp8mLXOA
RXgoeQMr/c5MdZrQIdlJFkx+nRxMkumFLZ6qofqQJWk9jWmmC/AQT5i6kFLFzbQc5iWBJsxLz5x+
KYLaWeDUmNEYrClyyC09gvkY6TZLMJIRTOsM+uCVhco33Wufa7QgyNjThW1WT2SlbvM+eops8Cjo
keHBbHwsgWK6dSzNWw7e2CNV10qvZYH92auxBFkru8P/CMyxt+SyD4Y7Jp+LAE+V7H8kASbp8NKU
cg8X7+w14SliIxuOrkjs5XAdpmCd1+sAYiPsoNpV9GpgbRhwf4QrRW2vMDoRONGpRv1mko++rT/7
vXoNW5XzwNmEdKPhLBdHExeaZ5I21kXV3g1qeum0M8FrKxRn3RS+KWqwGEqwkXmLOCD66Ptmi/r6
LixmwFQ57AcJwqIvycjLngKeTRAs+x75V1TlW0/SSKA6CJu7UBvxuDs30ftr4CXvIZEIqipb15rj
5R3qh1axn+OGheJYPpUTLAy4Ta1+kI6yDGc1lUlJOnhiX6biQUtvnbXy85ExeAtJX86iIPzLafro
I4RbomwP9xKpN9F0c2lZT3vby+Jj4Yj0m2IFcpX5U75jA15RQ1ayeWHhmD+VzdQtwFy2eAOa8QdA
CecsI9U5VrHRfXZ9ThxyLNWNZZEqDaPKQ8iBNw6B8LBCkKt+E0RrXxwjFQeotRZex1ikW6kX8VNu
w9LFBCCvjJd5J5UmeEuphrdJWMyDT8XSVk3hAwmF0N8ukeYQvgqcNCOGdQdIy9+iTlS/8y2dbwCK
pw8Wbuo2tcZmQ3im9pCLylhr0NxPWOKqvZpF6UFV7OqBfo/6mMJsWHRVVl/KNDZu2JJmb2vJ3RIF
/U7V6gI8jskGW2H5ZQNRPAOCGlxvxHrqMz9mudUlBGrlRXnM8shfcdeweGatvlNkUR/1zPb2SdXW
e4laiOBXhdYLnzjvO1OmY2PaeL/18Zg7ekc9g0n4IXcaGw6gysScRFCYVsKD0Tv5JxNY/etgQEBk
dlQ+0ujw/Di1n344kWhflMSwAHV2QXQyu8a6WTIKrtJQx0vdy+Je6xm2d2Y0nKpckmtiPnWoWVnh
VRs5NcPVY+n3SJ7mSAxoOOJHRlu4HsqCo4yp1QWYdIvNHHf8yIUJaS+0t2neOgctGoaPCFjvuU36
5mxpTQ3+RIt2aTgSKGDJFqcEObUBFKQ1qllWptT1C2EU6BE6HI6GpwNHMCOIzoFfbNK5wZ4d1SPw
NoS4cYJvHXyH9WywXgN+FaVvkZXo98XQGohJbO2AHhOtEsJiPD7hOR/ehoCMUczcy65JxhNL5xm6
lI7dA+nOy1EDcTCCZsm1zG3L6Rs7XQav+KAt7MPdDS7Vo5PhQS7jVxHOm7Z0F+T60pxawjcbxOVi
OJDsvGI3i63DBvmqOr5rYsaxUOSxw4WmVO6IvlNnt+SnSLjM9OjdrGIs/NGS7M91A8Q8o3LjYjAt
uOkF2JV7xzfVDTkihL/nN4Bqu1B17hOzdU1tWgaRwStmfxKT+V49aVojV4VSv0xTEBDNEVJRpuLW
md2jp2iAQNGYMXGEqoujflB2uKFOTuh3u0IrTddS9GRLfiWKikk/jQ56ER1Kew6LUZYBQ+2+JmqE
oryGR9Pq5rqrGhiRiu4Wq7p9RkS3aPL6IANsO9JZ+0n2o8h+NVoyvvK/538x7DC+nHK/rw0cU1hs
dFSLXpOFn4ax689DF/ZkVEyW6LcieabNDw8T7LXT0LMBVpAQ7FWRlfdD7k8Xzqfg2ofCuoHuiE4V
IJl+Aba3e3GQon7YX49KPD814/z8WPOTFMzPVDw/XWwRyoP29cTNz14++fFDb+DVXeQ8mu38jDrz
0zrOz20yP8He18NMkny9h3ms7H2PZ32cn3pnfv4rmfurNJ3KYypruenbHgmU53vOjrSz0c20yjvr
DCLX7Al9JPmcMtN83vgeJ4/asKgszd642dbIuaTV1Oc+RMIHNcrrBzWv04OjC0TWU9Wc/IluTM4n
ne5ZnHnz6Sfmc5CwdufbHAP5XZ9PyWpswh3ebqbFZbBiqcVh2s7nqoKwZJV+HbZtIvvtGDvBG5nw
1qJQR3k1o1iuAkOPn9jg0DAw92WAEvTiUI59cDFlTtqAVIYVOA0EcBGX/NclACZR2wC0Y1o73xHe
fFvk872B6Wz8oc53STXfKsxz8idtvmnIpOHS4aeZ73zBTcQKJf3mzLdTPd9Tnp0Eu2HI7/L5Dgvm
2wzx/CO+bnQ7zlRPnwwJD0gecEeXulY/9VWqvjhj2+Cix4P4PFo2Q6201cfXXg4+T43BsrrwGUAB
WcfFJTq4VikFnI51b4Fw+t6uk+w+CIJwpRd6cF8woEYAVa5JMlW2QgkkivjK9t7NlJyqbY4HkeYG
mekaP4ONFqX5+o6YD9OlnaLW457GW8iHKQuCZZ3nyTnPIvEOyUg/pBGHxIb0F/pVds5UCina0n5h
kyv2YajFBSCi9NxCBfIHh9egLqFbWLasaxh4pcJZRCjQFqpVDCsERdeAbnPbK+ZrlTHKadWOToJU
QvQn9dOIM4HLZlhJxbtFUXlLGuLflT6qXLQeKSq7rFk5NOzfaWKeFdbgR6OVclUX5iPqViogRTdW
KkIZTlgEIsi9kqvTC+XOCYcZxQieDBBDeLNVWFmiqaN9IMQNGMgNKWNwiEoZbzObMrtN1b1vaABi
umBgdzN0FD1NEqPsFW8h/p+to4U/xnFOsi+ngKo4bjG7jncV9QeECn45sY7gf+3uxWq1fJ+RSrfO
xGAu4yrXN+WYVK4GqHZRA5Z3gpzYz6yHAaKW1pphKmMVtXpnh3WhLtQXqhjYfWj9Y5EPT7meZg+9
UtCOOUmwMfFuOrD54vwuABjmJrGfbxqQV6te0TRYT6JYO6hEUdZ19brTedZyh7mmh54cHyrALX+o
3/qss3ejFrPxmLI3mDtUEBbWhsR2mk0qDVwBrCH4WIX1okwhhVXaLI6H1LDAhwLqomC+2EQW0hBf
ppQWhUo7f7ZK2O6+QcU0BrT8gePlT7nX8BMe6VqBOYklVPQbX2ftfLjVXLu6YT7WjsgO6K+9nV5I
dd6phMfcsz+1ok5vsa5MfAo4UIgt/6SL+REZ4hageVkOWoibRPGRUedFtMwF710ig89aUlMkUc3V
XhJUT1WAPWUMP8ZRf+mTV+T/xwYCBWQZJDaZfSZZW8f0mP0Q9XQdtVxQCrcQB5IGaqxC0CaQUzi7
Nagb14g4HDWVxqPLHC6r3KzQQOrqo+Rpp3vVvg3wVlZWGT3aVbJl/y9XiuH0dMYFogtfC+582ziM
do+61eD5ws5J6jVEfpeB9H3nWeCEWjsvt2HT5btAV4Kt3/vTS+TMTaZvjOsJfgVfV9sI2KOmm94I
REnx/pjB0m5JfmWhq5/sJirecdQaOx827iHoZbRLGrM+ebndnLvay85orIcPj/PnoOmlvR3miqqb
ayv8Ye29MddbwEaovOYaTFcae4fGT8FFO1dnnLjmozOXbNVcvLW8419bhv9oQ/XXu6c/rp7+699b
Yv0f4iCwP1RZY+GN/N/XWLcKanPFXvH713pt9wnI4O9f9usaS//FMHQEQTg0pcNE5PdNlvYLuyOp
m4L7ebZosq76fZNlWfO6SvAljjBmicRvmyz9F/z9Kom3xPqpLLv+IxoCS1yqpt+rKtuhnBJoBJBP
CWSPUp3//x/4BOBVYcubWrtlRAHHhS6ecbezTaHuQiMfXlCK+YsOBd0SOclIXEzzfdD158hxXlI7
Ua9eibXFKvvPBvn4Im7SeRAiWldRNAUYXZk9xIVaH+zOp35yxsydOnzjUxldRKFgrNFhhVBLcpT6
xb1dxPqihn1IaWy95BQn7O/Ha05LlxbJmX4hdhMf5S1hBuZiipVPxLh46Sodua1SvqFtY+DEPmnL
SYyl0Zrx4rnfvYWsx5Qpv6uSCFZU06c2QH//zBZDuvj4lZVa0nhrRpTdFQQpHhrM+/tCKcRdkIGv
WxQ2BC80nuOTJ5lthfF7D1MsZrCYYPoep6MCRWZF7wPVIEdaHMCzXIBKbq/pGG2I1TDvCqENOz22
oFZ6Y+7iHUJZUWoIgFFHjAP7G0trf2itvK9HX6y0yrAvaN7UpSyCVVDW8WasQRAi8M6OdpRLuLK1
92EwQt0Kyo49moaCLIRSR/4n7V1cgcJSE198NGJ8qwYZLA1K0GXRd/Ws0+OfQNR/tGQ8Hj3RqTtk
CkSkoPJwSTwyj1NctbDd8u+R1vQbmmD7VKkQUHvfwNMeaQgg1dxhVGpjKwsyjAOyrJg6DPrVofoq
ChiVYMFKlDZt/GLk4wuoNyLYuVMW9Xxbg4EB+8L9XeSExIOhhPjLpRJmTry1c/km53tfdPzyibYt
WPdAiFYdBUI+Vwr8qmSr4hg+hECYWUjcwGdFe2euMFJ/CG+1V1HJ2ToVZxn7x2iuSVCFOJSJ1ClT
LI1VP9cuDUWMTYQBLhTFOoK7eubzKr8Pc82jztXPBLDZTeeKqCtq2kHvFlAqiXxIQYnVT9FcRXVz
PcXihjA7SqwEsNQ2amrw4FRf8VyHicio1ynC1CfVh6FjCQf1n7zBcTpnkBcXdDy0pwE23LpjrLSQ
nSo3RGHMy1osxNUmnRpzl3nsg6jUquJsigEzALkQblDFyUkSNoGCiAVXGmrFGptPdcJs1+093wy3
fgzRISFNowplvZma4tiqkQewMKkQujCouNaR6WyoanF8WvWT5tfDAwYrRlSs27fk3eC4McUj162+
icMufUoiyAX8qLpVb43AhujMUB+3ivfKzL1bebFe3oVNjSN77AVaXByr3NZWpbutV33Piwr+CGUv
00j6L5Gaw4VBoHQLQBcsgVtj2dRiT6CvcUIzVLuOZyHql3146TXCe8cCTZMaTem8Y56+NSNU9AaL
qIBWxGo2aoAYTdrFi5vBbelo5iooXzcqCw+1hgjaCT9w46ZHkycKRv16YGUoeIg+ZeKkClf2Svs8
1lI8wvW0t6Uzes+JijRWUW2ylTr08KGJoD7CFXUobSt8lGHBHDef5d6BNenXZNKUe7xcE0VcEj2j
znlW4eatczFimPExA9XDuWg6/Tt2jO4a9nBQlbCuMeF1AmbJkE97JwBuLtlM0R0RP2HU6ckG0IZh
jx6Y3onxg4dzXLGTeE30AHkvSXGvVM7BU1JMXThZfHaREkHdEoJbjju0PAydp/PkEsjuEklP/9AF
9sFM0ujcT15x52lNdEK9xARGbe9aEXZ4ipvyGacbYXB5yuqnHBm7jZXqtqFGp1gDtO6iKXrsJC9j
joy/esF0GSwAWTqCVzcf+3CHmv7CPcSkEofM2lIt/4MuaNpqiXLzh1LF4pcNtNdZc8pjggDgEYYu
CRGIFvXwbsDdei19M79YBJMt0pD1fKXR8SGLmDszx3PHSaOiVqAI7RQL8y4CcIt8OgeaSIVsZ1Bw
AShpaQO8SMCX2AancGh9B/qTuVLQOMFRuIDb/kaE3rj0IjYnrG7ZaquFsYo7+lijradV13ocLx48
3DzznlQTLN3Xa4Asiv8t7GH8NVJ/djqe5sTSxcr3JnmM59Cjpd5Z5oz88PsPxW/xJkdZX930wvlh
1dEx7VtOX42OOsC1ojunznAkpBdyBNzICXpchUG7ZjuC+ViJrvagzatmET0VZACvSh0NhpyCJ4Jz
N6DeIOhxJ0CDVOQrW95pXcriMx/4QJGBfetKLHLRMPZulqj3E8z4VKId5baLHpH76Iw3Fbms5p+0
E4/e2uio552Uo6fBScgm+IO6+K2zdUjX7JGYwCJ1WNl1Hs1SmHA/eP45DMrq6KgwAH1Dv4Sotpcj
IwgSFTAcomwgaXHKwMNHtrEFJ1rdfKwb7lT75Ubgwd4aQ/6uKpxCIo1dT/dWorE+xoxllml9snG0
QK1rbPkM6/P/y92v4vTfUW0ZNuL5/73cdd8/q/e/vWeff7t/99+rv23fCUoK/6H6/fpd/qf6hfil
z5Is9PC2KZBMUcj+ygKjjtVMgmCpiEnl1Z0/6LhUSmZLSsozS7MoS38vftVfVIppxP4qErAv8dd/
IOP6Sa7PsFkVuI/kHAnPC1F/GihGYL8Gw0u8VY8LOIqGjTCDNfM10D7m5g/v019ML7Wfk1UFS1Kp
kc5uAx1DivbT9/JThdaYte2K63YNh/M6puW2ju11llvrSZavqWpBxXyWBoi76eSngNED4wUpPZHY
w2FIuNT59P+LV/WTxJGXwasy9FnmyD98cWn+WPx7BHNKkZbeqgjGFRFku4S4hmWv22sNA8CEx9NW
0qUAdOQA2MKy5ZJlRpQ5g3mrWZp6cfnnLwhT25/bkfkVOTpZxxaKahBtPyPMUmYpilR9b1VPbbBB
tr3zyY27woPwTkOAh7ewlORUJF1LjpCY9sAB02UzWVTbxLfOoJg3pcqsC6dDgs7U8Q6myf1jZ2sW
BDgXsv7NHr4l9CEdom+RZ0fBsjUmPwZ32Ah2Wm9xlQllZdQIHwhzRVDDrn9yCS1mNWMd1VJxcYet
CzNzowTTBJZV8nn2Qrn2en6dPO493Epm2eHIHeclo9u3ZMKq+t4XSKPL/K4W+hbPFAq8F2ASO6Il
llP3oWQHwdhgwah3X1Cu6eY2lk9d2z13bQy/fITJWgz2zmyevL4lLQu7dJdvDAIc0zrBsOBfUDGE
dnRPlM6S8KqlY42rlIWTFTRuDFdKesks1nsg3mtvGPZ6IPRNAMFh7Nasif8Z1wpGOoQirs6WUEEh
1JrVsQvEujZ+DHhqGWVhp+ip2EG6EfBQW8/CkXucJ0s7w+2ZWIuW3aYWdmDik2Vk5duKMEs/qXl7
+DaSvM2yv+aVBToHzbNibNtGpIupnznXA3GzTOfKj8A+6cTCE5yyCMF+9rMQQ5X7wuTJ7JyVGsHP
CB9iAGVKdY81fY2Z6Z14rpVpfpRD/lbXBDch/0f+EqPbrUm6keM5rJhXQz1LHTCYTNJ8r27vVWkV
D0gq3nw7VY5waggMaeOTwuT6qk+wCMCSU/k0Hsvl1My/+UYJK7ooeNPSrohY+mbJd5LNgos++fm7
NELqLsOaHxpYdHifg53dmw+21uqPIta7HaCh9hUEYb5oDekzErcx1IIm8p9gBUN3B66xgElDMavH
sDMWHqiIB25hlmWitt2mwi+4yHqIR7wKMbxb1ZhsM8JGaD3Kzj8GMKjv0FefrKoWl2rq7Gujp+X6
6zn9/5nQv74k+fgb/3QmdHzP5qHQT7fir1/260zI/IV+hwWEY1o6InMT8Mjf1c1Swsy0hGUiof4T
tcv6hfEMEymm/WyD2Af9fi0avzgGJye/ozEf6BjT/oNrUf8HWbEKKFIC4rQk23jNcn7iolgEnBUK
1IttVIXplrRzYJKh3KPVxJwAd9lf4kC/xRBFNmaXWEs/mIbHtG5A62jhc+XL8qiUDopbLx0Ott53
17ozLxopOYt40pDv9jSlOvNZBgxUfIug8p5M3UmJ9oFXV+GhMTHNHpK4virorDkphuCDlD1iqroI
a1uXnCOHCRSz5TTGlS5GdA9la3J1hnJyCyZANzmCvB28xuN0GYtjFf03e2eyXDlyNtknQhkQCASA
7Z3JezkzOeQGxpwwTxGYn74PqCrrUvUvtWrXZq2FTIsUKZIXiME/9+NygkLfzlyG6FqF+hxxiWty
/2RVofRODOamJ+YgyVvaND+B81T+Lu5c0EFAnL+mAksHlXInMty3WaXAOiRFfh5JDu2MK2lfkUyx
UAt2sl+HkN7IRZ5g2COU65YtwjvN1LsxoFhRRSmmgkUzxqY3AQtAkr7hk4WhCTiJKW3V8QuZkaYF
qidsTI/YZUIm+zYlAxrW1tbwiOSbsSubR3vMfoyekWTQomjrJjNuFMceMY4Z+2vpTFwy0JeH44zf
Dr6UjJ+Gcdp27mg9Db1fPAwF3N9ipFZiRymW/UAWOmBIH4+ofWj1lCk4LC/IRaMdaSotcuhARWJX
3LbJGkRiskhzyxKIEustN+2Cja1oAE9d6aUozs0E1fgQLQKtQFKWGzHWjKCBJoEVnoea0XEndKSv
DK7s5MhgYLjGHdpicoRGrnaDNyMdeL4N/D2jZwwHVSkxj7Tu9FKRcRyI3xifi5rfcnsZKBIlo2jN
4X1HmYbalORQ9BbmuzdgqFtCyG7Qy98QFvTNQrwX+QSHxppjjeRdEuMb33WMbrDGFhQBNcAisDUP
d550jfMw5+ButmFmKPeypV/4+1FSPbwJtTOOjxlTPyAvcD7ba54wlxhUENMRwGRA3FrWSHa4Scuz
r/s4xgne6OY4KAjMmwzN9Lr7dOaMjl4tUWP4YAay2rlNf5U30iYJDbSzu3I3EILduBQ57KV7G9jy
rTD+/ZRxnS1oWoSoqk9JJxP8dlT4NstnduxxcIdvUSOfyNztZ0fOt2nonrwSVufYt5csjnZuXhN2
u1FsZ1Afw3zXxMu20zUfmRi9XVfO5VVs5+59OrvWTx7nXQ2kFH3qXnSptYMR+WDbEHfqcdpwhrUP
YYkOya/6y10eStCTJuBrHKd5Ky2RPRhafsGBpbtRo1thwpRbYTK1q1ctNy3yp7Cxoo2yzH2gaEmf
qS1oR1KWgxfEJ9x6Bftm8ly6QwKkxF87uFzADKsPXynQG+EMs4guJ2qwoXKhvdXWh6TQHg7ZEaJC
gtBQjxuid2uKzeYIVtM5AjOEwtcQ83rkVPWNnWbqazjHT6IoqZ9kNH4co6LhlckOuQRq6rh+tyVW
5n9f5GL22pn3TjCZixAZNAjG+klVRFeD5z+x9N3EGSNyt6V0NU+DQ0dYdM6K4iBnoY5tiLKHmHXk
XPwDTC2QeQW1P6egIxmBOi1SHaTBRYto/nPsgvxbv8S//i9n7pU++acRAAMG8srI/wzHXD9YYzX/
PAKomgnkV+qEJytuqLApM0E0nFKCXTw13l3COC/dWktPxNwjRn5jw3MHw16DusJbz/EZpkHCOtkp
3jpVc1TKRNOvCcZczzyXaeAi1+RU+6yR25daV853KHq8z44eqWrxm4IqjaJcMNFixUPLn/BtX+dO
wg0gwSFNxszxWCyI6J/x0QwD9W/raoLzkZWl/VxlsPkW56lE4gAEOPsCkySHykRr2Pe9DU4HDSl7
7DILmQgwgn+lW4xz9LLH+BSZzYouPmBc7C8FAIMRcNOhT9OV7TFcoOSNZ49wDIbw5MxEIaNqhwNk
LqiYII9P11gFTQUE0uNSOjBmWM4uqoq8Y9sK5CXcV1vANZAkpugIjkRck73ufjrM/b/oIa73NEsW
PKumLaujyR2o7tlQA/VXCx0ohp73dKfsTPN0c5GutzQPZ/lTCm19PM+kGLdFNnrIjpPYT6HSW24o
5S4MY4yGbbjccxCl79Yub9NaZ2fqDOQ9LBdgEUEUV+8sCnBMWn85ePVY7wBOAA4uVZvdQQcKfsSd
1+/TKnvQRS2ulU0irMaw5dzY0snxOqeglTvd2TRodOUCepdR1zmZLAIDQWkdfSRtTBuDdXQY4t7D
koJu68fx9wj+PfCNtO2/zh6rF0ZZccdZl8H7oODoOM43WUTOyZ5MuTe1x1hHlPq+WHk0KUy/oqxJ
IrWwqkejmZ9YwzmI22CnJt3uR9ggW67xqXYC8gbzpem8N+oUpj1/uVeAYzBycwDTNYSnPcCsYSMa
57kMqRfL++mk4ROyzzXHcHJ/xLYzHlRrfW+ZDSX4W51jk3TXFHnsCINeCuGcTRm9RrG7A7JzRUTy
G2IXmaTw1h4GyF597x2mpf9RJpNzm7fuT1R6JMG+kTvHt/UhmKzgVDvdB/wmc52sNxRD7/mPmdzo
9aAC81BiO7qCiUn/YENEtizz4DgM5juHRa6knvtjkDQtwz9VWyYdwa500vQs4S8t4HWO5Ww7t1Ub
3mDKm7cu+fB9RW3xzvWd+uB2TbRte4TOwdOkxpoexRWPesiHncsx23dBs+OUcKgb090sjaNRWmeK
eWSDJ3oST1ggp5vCcdIrUYrqAu5Gcfhw1C1yvvOQe5W596p4T0Y5pUUDyToemZlR7UKqU4VAkLEN
FPKngY20F73T/GKiHmzYvuuD7Jeamy0YIrcUqwuH8oXMzbNjO9J+sS1W587k+Zh41DSLV//T2jNo
XD6pl3aYVKWNczDNsl/AKzAFlRF+wayPO6h5YjLN0dLY0/fkjEoUc/Zove7W+efG3Xxu4jQ+saG7
kBIJfH1u9MPnpr98HgBWXBsC8efBQH4eEtR6XkjWk8N/b1v/oSTJtUkiEf0bSfJnkfxVgfz9i35X
IH3ERGgDjNQIxa3//cddy1dr5cAKKHZCJKd/UiADKgd8NEjlcN2iLuBPEmTwG+IjX8XgnKH+eg37
G3et8K8KnB0IzutSIoBLcM1/RYaQ/6IzPASBm2patjnrtN1zP8TjWzJ0w507jc+9pa1H8tYA02DG
N1h1Gch7jQNr3QNZ9F7mevjQbZ1eRXnY76tCof4s+Gyh9oCmpaTvAdPO9Mi3x+kCjOqeQETxM1PA
++gm2nE0tvYtM7OdqmV931Dj+tyKmDpBvIavgOzKjzpQOd553CYmyvN7ZvOPOWHGc8HAfDO5anzB
7mQjzCycVxPc6iEHr6e6Dt8mC/ACJOHVw9syNeUwfLSrCe1OCHy3BitOP7dPdskUITETsYamCx+b
CWdAD/ztiRO/tad2stzHo2EIoTvvlNLMdWSYN74KEiwnI6LiVxg11YVIe/INmyDJ/xn2Sl8F5jnr
RXnMIibcG6lcEl4DyTG66SdO+sDJnK853pytkmxzdhuEl9GZRmA7S49Jz7Td9BU0R9rgZvLYeVr6
5d5rOiqgoTb4QYPYoUlAD96N1w2fVMB87SEtDEg+h4yLGyxgKJawJvf23yXhbywJzAr+zZLwUX5U
n1MK8F7/pwwj+eLfl4Z1BCEw7ODNQD2RfyoqsX/j9f/T3AIF5A9rjv0b/0ICHbVcOGgnfLs/rDnM
LchgQ1xHVgeGCk/27ywN6Dl/OpbzMwWBSxwVUiqKT4AQ88/H8kZb7SgrR5JpS3/1vrr1tXdsVPic
RdRW4fHdU9tJXAFHAqbdh2ZR70QSjn34NRnRkanZPDOKfcl7dWxS7+BY1j67LJm+7kaSzT5R1Gi4
SUb7pSVGSFvOoVm8Y7ZobBXbOkFNLRps0FvVBwc18rVtdaF0/QTs6SpX7oPS3i2O7ePYygcZObf4
9AXdD1hpD3MT7rn1PQVW87SQ14uY/smE0xX826L7thRPcwzLuYT6OamDL8cbvwnAZZUXp5G3lZxe
Gldum666B1a/bzhwFCWXZZTuWUTPy8wdLIjks1EYmcfsrowkhJFkdXV6+rREEFPQXR662D+5ZKaI
eA5fOx0+24F+yyR/stiWRzdSV5hl90g436G+7NqmvMis2P/pyfuf5j7rh/Qne9U/PsSVdwMNCkXt
r1LaXGphEuLXewDdu7hCliBuE4/tnTfPd762DN18a9W1v7doWRr4ZP79DyD/Onhah1y2r5D0FFsp
8uA/P0VpGwYA/tJoz2FlaRCHg14fJhvU3TB7gIsScScjyln7aLkng/syUJp3YRu1rkrlpht/83N2
O31YGAJtmUanB9+Jyn1UL5ep0CeYpPmWpinrysZ0US4MTYDilbsjRC4gKbhV6ZUu9qNLW+mEzZQG
ZI+8k3tuJyjucJGBjRjxfQZTtxmn5aG30+NiUhz2wnl1W3HGfHUTZP25gmB5XbfUrP/9hfQ/sy7+
y//V/4sIDpYMMho2vIh/vU5eJ8RCE6a5/7RG/u+v/MciGfi/hSjA6GQMZHEJri7Ff2jVgcvJypac
bTkoffoa/1givd/oAli99RKFm7JZnrk/lkg4HL6AVUcQBp84LoS/s0T6zvr0/vn1QuxmDkydD9+O
RfyTyPYn96Jd2mhY1ozNxpGL5lJgUxbGmY7jBAGenqybF6lXQ5Kq2BmtUnjQJsf2g4cqdjh/CFaO
qGmHJ0DdIfxsr/MOXWGVN8HUdwdnTLrHeoTtXzk1MC6vXMJNM0PLSQBJnvmBShK19Xgaw16NJD6C
cbqo2tZnohRVeuf1fYyXS4Eh2xXAixPazn0j9llSF4+y6ryZhMEMnc7zF5fbe2tX4ZHqC2R2sK0j
tWdMn3DAZ1lwssPKIwU8RNnj0HuAPWbLz0FsVm9MlKdw2wMJ+sEvR+tNwHUKh7PbP1NkhKgoLIbc
q/gcHUev8UlTYzeiKRLG+YFdcUBYdlu/PqTLKGvaJKL0Nu3QkdGmUXd3sd8s9rXIaeLZROPEe54F
eeSfyFq59kkuWVXtIy1TaPNqVNMWLrT1te7BQW34KNNLHdXZR1v26cUIBvtQ8ms/PU/Ct5ddUMxd
tS1dH+0n15pMRE2TDzyKun8vRD6Crei7+qdg6vUrkb5lba2uwaeEMkKzPL0EG5i18Eh6WFOAd5sp
PzmWGGHyW8ND5uryu1sm9HtyyouL/dyO1psBrYl5GpGmPkpE2HtLeBFpf0luabOYYYnpxxmK55qK
hpn4jU2dgGQUXm8pNHJ+KdyBXGNJHL0vfgcArLfaEFyKvzBPSHXqbrkBgq4AVU2epY+Quh1GCgen
qYad0Ka9b2aruU8GrU9uV5PMyAL7tgV8ZVFhmZXjrgCJs889Sppt003ICJnbb2cExC3kSlqhdCf2
pEAaWsMbszNpgHK7zPQ+dbKtD7XnzAeS8BM34mi+seMqPAExMC9TU6dQMDPqHd0FwFYAKuetjLrl
yamn6b6KFYyXbqIWygnHu8wJqEXIPWTgps1vegeJoed7Hf0CNjmkfKQqAyIGKcmGusmPNC5aoL+n
eGF7zvt1pKNrcmn1SZQJpSwuYDPPTsoX7UjOF4H7hRsRYw1FnGmlDbTDeRC8BjBMyfohDOaPIViN
KyJrtC/1doASm5pzG2E9I+c7f2niCvR830/XbkfXUuIvw7alS2veKJJZ2Dwlf/9c4EVyPGd5cMUQ
7OaKwCPPunuELeU3u6T2ql/BKLsHukUFEXXPeYKQtrysasqJEAbd42PW+gMus6Z6KRJ8fKhDzUtO
0fCvPmE64zveFTEd/NNUyt5ldpSOW0OO7H5m7PreitI8VKV0PsYwAtLdCj98EsSLt1WCbL/Nyh6W
Z8iaQmo3cwFpufNCckOJj3HJKMgh1Ce/QJMh7zngh9Uj+bUpzvy7QBOJoSPC7JPSixDIlRke3cCP
TnOTQngu6+KHbyL23bq1BQk9y5vvMr9CQScf1vwSNLK9rA/Cs7v4y6/EH8dmF4x28QWOnP9AH8S9
X6eQbyfy7Xrre87I72lRJ1Zwk353uWtZxx6kt7cLiyK6xVDQX8+sEY8RpOefZZJzm8OJPb/mENvg
67E0n1xm4GSe3cj9RR5nYTwVuitdPBfquQ8rODf0clCuU3jxoy7j6kMhxv0UQw/jrw5wgNupGgTl
3nT4IO5NFw+Qt7MFe7EcJm6OO+7ya3V0NO1FYNPzo3gGtJ7bQyyFzZAwkvp6sT3qVHWhFRAep18o
qgdot6/mpL8HHlWQAsl5SRrFlW8bdMI8xqLggo5/rt4MaW+eyEit4Hnw/Tii1dlVRfQYF1K+R7rK
ryt7ib5aI9m8ppyYsfSYCQnPZQ+hVnlJAp4W9MEsYOGp/eqv8klju3VIFBP9m92LyoPupmiZC24c
jA13uTeFtyCabcH6YNHiXRdyeRiViceTYBD3RDK8eE6GGMxIZo37YYj9M53mNhXi2XidylAhUw7l
dZr3ZbylcbjZ5/kU3pXVPJ+GevKI72tL85KRqtwU9pha+850Cs08bVNvOyrmubwKOBgSUz/EbRaf
RTeo65lKoo8JTuYHYWPAGqHNzzy6rv7hdLSYwGsUz4ND78MiKwpI2iSgUlQ332Enjh94aBbgSa7X
YSK38rbfLMOoT2omxY4NfR0JONUv0lI636ynjVO/shmH1kW7FJ7xrshF1pdszN0DQFv+orNLrNgf
PYy+SJRXSTLkD7jyLdAHdlA2B6Jo7LcBoMvbMGF5Qd7wVljJOIwfllswzEtKERGUmxldDTgq7pyc
vm+eOwmSnMRAdROlMjtUfTo/aGz97Oza6Ieq9kuQP3VoGDxlzLNyw1YHQrll8xpUfmvMFB/8pKyv
E8+QF5BuJn74JSV5Gwv8PJ2trpueQ28ew4MQg/1F+UX6wp7NcIP8CXKpH9bD18qzvHNRBOjSBEeA
m3Igd5izrQFC2oAZR/RrH3i02FfpYKpn4q0uwzNc8eeltWx5TqrZfaVeFgbF5Omr1CggQ56p6uuB
efO5q33xOKFXXcswySF32UQqA1qal3oZ75fK8AcJWXTX8qTu1QO2+SsJhuXVHoHdFgQ9rswSFLts
AcoYUph18TU50c2sjFrnvAnu0dHlOOTFkoBZphv4gWQpb4uozV/r0FE3HNhaeYxaCsBWAk1xCec+
eA8X5jBTqt6gLDbHWeUTKGjJ4xzLZRfqRj5byMJXiSoxQYVc+CRzTON/yVQHHaYpwvSYUJX9XsX2
+CJYOhuCGbohruwQZe0WeFPEnkGCTUVyrdIayvVsUQvWteoYRdYhZeDYwnbNyDOk4/B1FgxdsIxJ
tS1cP38P5nXGBMo5OOnIDm7duU/ErnXs4WfkGYKkQLCIlqm93aR44F2z+keCEyPpfNN3uXd2uuBZ
zhHd6+Hw5PhD86ophjkOUncQX4aAFSsbPPs4WYbZZV3ExVPKY/LaTva0ATS3nNLRGsq94zoppqVw
mK57nNDk8Cg0j/cV/r+30HTzN2hFMCtnVnXqeAvc6Ww/mKDAvzWEAWArMTuiLNOQOIkXwqm9Z1i2
m+I9JT/NHzEcsMgJts9jlBHSXxLKaTJyey0htJlxymxZ96pOn3Ez+YiMEl3CzrBpAzF1r3o59jsn
qwHfNHZt/Wy80n7uaNM8ZcXM1lvH+hDTN7AtQFM+j/Iq4k9+WLCtURjs3Ri4YJfSHuUeeqW7mUIb
pkiVlFcl1RVbRu/xvQm6hgpN59YnA3GrOCrjsLPHhwht9JIvhXPIrdRKtp3DHrsZI1z/W78d/d0Q
1eCZyjC7pSlMX+K2BKtvGbDLpzKPuxuNG4GWR64zL94Aa4BASp24OzFXFrlnDogvfaxVsHMnGb9Q
DQ2gExzwY+OPItutsz6QE21VUK9o0XjP9CHk6dQEH8YZGE7sd2uRTwxHi0Vswvevh/bNKAfuQKHm
CyQTaPGyGtSLUbX3wGIHPayE9/vOC2wf3HkE91xaLvJHWFRP/jLFN03uaVbUjjwlqPfgWvCL/wrV
gF8lGWO/3UHvsq6qsYwplVqqNbnsd4bIZwmpyjWuSSjla9yKVXN2rF1v4I9s4kIwKF/skk+pi2M0
nd6A4SKl4YmtXqT1AabJPFWY3glwcGbfNWVV3i1+0b8T2gHP3oL1v+kDn0B7QEeSAVgCGBRV9S4w
qng3+cQNLYEpX9LAlNiw89u28HZeIm25IZ0cUSowTMyMbYg37mlqHFSnmkf5FA0ifI3wTwLf8iOk
oNznUaUrtIUTxIgJQbmpZpskDuRoYywZHztlB+dwHrHEZCJOv9QWZXFM2zRmO5nV8pfRkkxv05Z6
PkR2x6jTpj2uI4HGw3HXuZIrR1HAqtgEibOw6RGYZ6+aH3lnQG8Qe8ZskyycNVj9z11CF1JfVucJ
2e+VZcl7VDXbQZpF4bka5u5pAvObc5paXscl9ukCStKJqFyddVud2MWyYUmCkPH3BZD/L+Odvwsd
/9bLB277o+tSg9k9+Z9UEr74d5UE9OjqSl81Wz9AckPM/V0lsX+DYbqa+hiJY6Zb/+UPnUT+5tjo
z6sB3V7R8Xy733USx8chGKC4KJQXPOP48v+GlIwh7K86CT0HUjBICkS4zq7+YvHA7Dbk/GdCbK0T
cQBgynnPZLwhc0jFI2MX6hD2Oncq4MlxNGcb31/ZVnLC5LUBWi23Y6jEpRo/GUe0t3G1pUeQ9Evx
lLP/PHur1zWeqJNWZYXQUfo2uoIH546qlnDvu2jWpjLJD4ItS4IhtwiSXQehHdy6KuBSV7CQo4Ki
+9ipJNYNocjqoQs+qKkuaWBcnuLenWmfOBVl2VNEPGCl6VOtz0kQVtsJBV0c8I/0+TaaYvr8/GJm
2lSJscX6MDPj7ovFfoq8tHhzpyl+qgW4cGVj7SPgFd/Q/ETkdbaG5RvTew9qjPSBNBL/HSnQ24ZO
fuVlIkw32gXhUmcOLZG0b1IBbQyO9CXP9pXFX6cS0zmGU7l3ykQQUNECRngRs1imzY6CUufb2gBF
mRwSidh0QZpfAF/m3zhmY8rI4yL8EddW/EWQGVxJBiCmaVeyBHYcMVS7zqNLPHRzubFdDkZZFotr
tCKL6C6dU53KhjOFpC9zWkXULYqJ8rrFVBMmkcqut8vUViywS+7uXMIRN8hW2UdayfKnLSIih3qY
qf5uK+4nGzucYfKFSLiNZ3AdQzAR/B2GLp62qoop7rNcSjsFrCpi/GMI46pq3hMTmY51t5gJ9k9p
3eJZE5zBrTp5I2EH4NG1RXJyDf8/XHcQRXI9BuGWjbYlfudpuD1oByHExRBINHZDZC1djcnBFfUE
hstCg+j92YMJpmZIHEzqNr4bUEcIl9186aQr7oGCy0ukevOcVEn9EdtuQhtyhw3izFTAJdYQTM33
tvTmdxMmtbODXwQDMeRU+tXpMRptFkd5+THLKs2RzA3vmeBa0W5pxvCS5bW5L5OW8oGgSrizhlOg
H0AnTC9GIhyQMbOtn1REewTZHEe/ST8vv6lW1cdgYiBAzi0cn01VsWPHXUl3tO4YQp6IXRDQGqyk
In7MRjUWguBtB4Ii5r7ygrjWPHpdvVy5TrW+t3l7osrHguTeKAAethPaO3BaU0uluMi/xbxc65dG
SP1SF0V7slOT6b3EVII5LVX3BVE5/P6ymOzXGN/iGzR6d2YOWi9HrnZ8gAEkdyIG3I83gdvaMT4i
jKsbv8WMt5iEir1I/YwKsbxTo753gLK55eh+r4eQ1ITNtfKb5080WMI7nd4nvLu7tk+w3ltmfCbm
2VySwI1OOV7o66osEDy9uOOf/bTYt/NkXhfjkw1GXpLc55Ess6mD+mcv4C8A4lLGR7fZgeJDjmek
AE8cp0DezAumjqJhmALFD2g/UIRWI+0JP3oJBX6pqnPJmqo8VFvLYfxAXalu2u0Yl+0uWSr2c7mk
trMtx6ms94K4X0kUpE1/Zn2TfFn8JDnbuZPH+7ZzYalaGCXfLF4U58AkjWNX3rb9e+lmieYV6Rg0
5+nCq72U3ir+YXziDpnhMSqXhvMMRJFN53ssLH2v+tu2zTlWzFVdX3WlMW9mzZ2SFvmRl0OGO0ez
Tg9FgcsqzNeoIEd9DqQh9PtOZDdLIBbcmck0vMoo1hc3SpJ3Z/CzYkNIYNn3gnwvD2wELo5JlI19
rl387waExilmEma3KepcUA31NVuJh++bGqEf0or9EYAUeCz+eON4kyJsd9uQQ6u3Mw4liVvL9EGy
xTJEKSS/p/JPGJ6TAMNB7Lg7asvNz1lSRb4dJzTepWGXkUN50qVuryOVVlQjUfmJ79Yj+VmORd4d
xecxtF5PpDJVHRi3z4MqJGgOrQ42B9zkvUveBG8vFmwezfYXw/vg2l6PvY6hCggSEIfhbj0WV58H
5AVT364Y2/Y99Q1nStKTwUPXaPEy+zXHbChf4mLD9/oSrqdwv86C6yAr4lVfXI/pQRO7d00XVHdq
PcW3s7/mojLF4+PDOnQZfTowQEw63Mx+B5yW1tX4JXR6G3QyUJJfdms7wZmfkAuE+rxMJMEcvHdU
ZRIJKYS54b3l4hFJQSBGj556Zm3Sl2G9nozrRYXwlL+bPm8vk6UBzBSft5piveBY61UnmyP/dc7Q
7wtC6nd5FtpbTu4AXcc6vWdEWW2TxXGY9qkaY2LScn2x8y8Nd+edA6C2sX33uYNFdZ+vN7N+vaO1
622NNi7rp/i8wolY9DtqzdwrErlc8ZL1tleu9z5Ew+e6tq37aL0T5p/XQyB0+b213hljyun7LRMV
j/BVCK1sn9pVNUO0cfJkO/vZmi4rgml9Egq3+QDTGyEkMQchNJf3W7MwbeHi7l91MUeHoRiX70UC
s8WCKKEp56yTu1oV5lI2MEwhsqVfgba+l1xoj1MfTscoRTDxVZl+RP1MjDdAZw7guR4JDC8ncHnV
oYV/gYstENa+GvEUcp+HyCwYFukb3yvLr0UyoKIGjpgIIxW5UxxokVmbTBsWF8NI7IpAWPfcLiSU
KksnBABsjaRGVLr04yzd5LidSaJL9yhZgLaQhYZnj63lARIz5nGDOgXiMifYW+Nv/FjopbsJDM7T
PStCcjXUUXIb24N4smXf3DsgUCkWiT3/AlyAjk0vmdttIVfilnHFMQum4Jbynrg7V2ShkJvtpLhR
mV98NEh47z2lXI8dJqlfukXRYFfmKIEDoCHT7LR5B7p71lZD5qOvivt0klXO5YaPGL1rjEh4dSk0
a1nPr2LxmI/lc3OfN1SpbKTxW0rNjeN+qIFDMxjWOHlR0iQaj21QWyQlIDjIOMMrj9kde2zi45uh
snAer8KISDEgj0y9DhZvJMi34dGPW8w/eencjSIRtL16hogH2iCcs8qPj6hA3Ts1Y/WDnmMrJIvX
p9f0yLVnleS8qwvu1Ys/uyCjVDvS7u1a/QMH2BHJKRySt8Tp4OQV4wDPANK8+2xnU/sKi6u5Dw09
G5PSy23Qq5jZgifltPNaqp/RmNOlpAfF/1FLCeq+S8R8aw1RdR02lX3kss9gRY+dtUeaUt+XJeic
XaDl/NElXYNLuqysvZyb4VsmqD85hC49ZiMlI6esX8aHIQd1/I/fspUgwxrZDvR6+c8uGdbNuIyU
Qtm1S79gWjX3wYo3SdryC7LXI4hUqliK2FxC7u28sxFGplxiya1Kj8IWuoO6HRoRHzwuqfAVjyc7
CPammMG+FOCCcTW4L5mK2kvo1PVjWNfqcaBg5obLS3Fhtlq8WQAasq0qTfAdUnVyhMzi4QhXvnc7
BQrZyBRYqYJ0tufrenKH+ZSHzpBfM09x1lFlPJ9grHrfoyKGeFXZ4AorGEfFJm6oyt0IHYR4WGOA
AexcPy3HqJ9xHOl+P2Q5U4R+wdqxUyWfNQkhNxVHUYfpF9o5xYFe+extsazl0Q5LOGmUboXsbcnw
4uRh8ohKUNwi1i73S+p2P93PzVdHmdnwh8eBP8bR45zM5ttUB+bGpzHxmRnM2WnjWCEYD+ojod6S
QlcZJDDQIsboW6GAvwyLcO+o2h139hiDl0tSRniMEFcCpl3JPIcLn62tJq1ZnWY1WR0srd6bHTst
XcLotpDdUw0w3bab79JqwUjXGh5Xr+uHtBzbV/CDILZaLzwVhKReQLbP4HpRwq7CoTfr9BoFflvS
hwZ8VC7WVV619kn4xIlz7VLM580runNlPQK/6vpLmrhlc8xV0GHBdWh24EpA7ZsexamZ7DbfUCse
7h0v4Rw6D3B0EuYyzc5tVq5MBqLD2cLh46NTtbkuy4wE5EB9S7ETkVPfU767nPrCXU83AKQZBprs
FHgVgY3RcsRjzJN5Gh1VfQvqpfy63rI/ZdWyYMjoWk92r/t7OMz6FarMfJU7bslRlQ1/C+Vn2TYO
adR8GmyOGJaoz8aem0sdxuBCKLSso21dMIZmKqaTE8mV+A6cBb9CnoP24X3Isoc+LH/pDocXrwsk
Z1BB95ZOV3oIrffoW553jjFxU3sJJAR2WhQ+TiJb9jJYBLLl3KsclN3AgQQsMjUTKUnnnVqkXJEf
qjmZjtKqwatSi6tpAg60EGnpnXRn+Gg4xttlOJ8Hb8SgxY70keZqUtsqjUy0uiV9gwnBLyS46S7C
se5102EZu6za5EZhYdcZDbwbO1d7EDTJ2QismRqi6o8ycBSosqns1mNk2ex95pbBtlB5ehXmnMum
OK9vYv1JfoqjEMSkb38pvfVO0QUeij7xUwjvgaPvZO+4l5J6+RM49+o05L65qvo5Yb5WlRMZPiXs
I11m9RWDwgjTFROkLUO44oaQXSuuXOoZ4le/n6AwDv7IrPa/YtZ/ZIv8XcxC1vnXfp8vHRz4j3/p
+OFrf9eynN9s0pbkgoRSapWs/tCyfP83z3fJCTkrrszHy/y7kuU6v0k8kWIFnIE3UJJv9ofjJ/iN
f4AShqFytQ/xVX9DyVL+X5UsB8/R/6LuzJrbxrJs/Vcy+uG+oQI4mONGd0RxJkVR1GBZ8guCGox5
Opjx6+8H2cq0nE5Xdiqju64fKiplGSRB4ODsvdf6lqbh+kPOhmVRnQTV3yh+Ag/7HPAAscZXlRI0
D7GACAjoX5SstnmqBk9cagOb6bKI1TmJe/Q+1Hiw2DgbLIqdaXd7cmRCYFPskImmKBFsfGjGDOND
O85tOzYXgYXG0WYL/BCETc2QN9Qnf6avhHN3zLix4LtAdB5SJ547BL1dUWODmazL8UIwgMJgRAJm
RFI8E3DKohk85n6pxh1e00I++zRZ5ngUIfajdXAXias5B7VmaOijelsOImI7azflKhXImIw6DZdV
HTlnka6B8wmQOZWkHKxBALtPEfhFooYp3gFXeMY6HxqVCUAYXsSFVa75ZuxFqvexjbSjG3fQDcWC
WqxaidHOSJXBDBPOiGg7IW3hjXZ+Eq1TB9XPzG+HuJsHRgsuyGycyy6JSFwvC/KIHaN4UNOkPBgx
CK/R+lS76vmYh7hmjGSDPHPftoTqmsNloDTR3DSaI3iAc3YactEzZ1jpEpWf5csteNMeKJJiJZOk
Ji3OC6fvGFHEnnVT0zGFCZS0nrrACX8p8uhMxr0DHTk1Fh4VBP2XiSIdpAP9/tqVJExkjciZ5ioD
dF7pfXKj3iSq1ymOY6WxiI9CsW4S/H47GQ0VpEVFPYcqAQxNrXVA8E4dqzOs0fHWSnt701bgGBO/
aT+0CCvJD8WMSZj72CKhUbQ90wBlmwvMQZVeezTgTOEw7xTVrMk6+2OHHfYsY8ILkCzQp2UQHgP4
jPAptDq5VLkqNzSf7Iz0uiBbq2hRPrWmsC5s0LGzBNjWgyzy+9oZ7HvXHe01W+P4KmXvdqSUsG6Z
RiakCAfqPgtLex8lJO2UmhUsyAjcezmpiq3aZyvJyHzjql28hgUmLnlAUwIQd54zVGIgBuUfPL/m
NQeaWfF50ht0SpOYIBfifrT9MMocYZUW2be1zY57XrkdNqcyHK6RefTbtKu0I5u4xlj6ZtGedDRw
O/Skxlynowyfeqw/danX7T2GTBsgLPpNpTpKgCw07y50JZKfEraWEoXWWJXztldM5vNqzCzX61JF
LgyNJx+GXmUZ6x2oQa9zio1Sx/0a9Dovk5lWd2wxf94aOUHQ2K75Ksq4h0hU+bhLZlmr5yQ8E42o
w1bb2REwIQWW9gXLBYO0OBThIWK4Sa/ASI5dPdb7FiP+kSc9rTkBdfmaLDttZ8SIIrCZa/kjUEf/
Qq0HspmEFgl42CXhIL2N4kTXbOUMQlRJlat1ucaLZtGFgG91zqQ2PlayA5Do9dmyTjRiTxyj39h2
RzhyrXTFpVN03oWDvWofpPRT2oLMoFnFhG0FzIMdIayqcC8iD/p8Plh7Dc/EmUqYz1rVRb3P1KI7
D+iyfjKZQDEvQsimzwVaKc8AGGiy+b/RZCoeNDHma6+D0RwPpbw2sYAuQoPucpho4doONe6toUvj
g+cn3aXTaP0lYuGu5oaTNfIb26ayh1Fo1xulVCW8vjbYx8wIN3jd211tK+UR8Up6DE3bvC0VHCKg
LPPnTp8my3A1xMYbHeUa05a4aCth3mpeqWCTxFVxVnfsvoElR5guSWcoM13/TDCigyuwK27NXNUW
Csmrt2FATGmMo62eEcQ+LnXMZ6sIUgzYmDhYqVXQ4aD1K4aNkgJZqYR/bdiptwoCp1ZmsGCHbR5n
+t5Pw3E9pJa5dtzaQW4vkWBpEZlEsnHvqODtVVmJ5gq37hRqI71tUXf2Xdhp6Tr1ZbCqwZUchAVP
BPPiFIuDyR2IQ/pJkC/xyXXS9NhYbbhmlkItNjI4iFEnLNMWDRdYNlts2amVSw3CrzE3kzjYxew5
d7RgSuAxjtwao5YeC9gmc7h7j0L2Dh34alcEkjWepxpxXZ8KfSx7ssbsK7/E1Z72w5ZEWf+mjJL2
OatUIpGk3q9rOaVH2Y0otaU1jFSKKq6igFT1rlspg275uL/1Yl/YSj0fDXhrsoEekDiSO1IVxDJF
kwkRzKyh30kyFExa8uda3m5SH2O4HfrntKXkhqV6qQ0U82kE6cgtUjogEjuB1idZsZQSCd9MU009
2cV4m7AdO3U6CyJMO/RaG0Lf6ijZBvAYJ4e+ny1lD4ATP+8nxmmszE1ul3OnQ5YHygGmjazGgTpB
jEtRduYqc1PUcAppmUvEiO4GXBosHKJ32M337qyDoDbSoEjSpjrSiCkeCjJ+EKaLYhoGpbu+4PRk
XPM0tVKdK7YwzoOq0DEooxXVqmw40zqxrvVx3CByG9G7i+SO6vSJXTuH9U5Bb1ebLsVl4WTKBj4+
LRJ/Xpq5t3WZWhMtp+hXCDObHbNm9RqUL8kqUkFDGNgk9TJHNokCNQPVWDBZ0IBHhiKYctA+9560
dppgyMP9Ue5BNjQbfZzk936TP6U1sYSOKOAKiGJkrmniFQmyoxcTFZYkNMf9NvWu+QJSzinQDRKU
pXNyxFAvjaoMDppPKgy/qNN373G7qmN+JGJD3ePkTu+6ViWjnmQGda4qLblGaByqjbBqWnYuALDP
CBH0uQdAjvZFbJRMyyQgHN/pwqXmZJaxJho22GYGsa+49kmADXqD+JO+RxOpVJlFXoyb5VfsL8Ls
nEm7EiyUFHbljGVgHmzVShudBTqEqLtwUWvsOlcm0J708DllxSElwrC6edKXtJ51K/ygU4cuI7a7
oOw07aay22TVC9BC/DfoudQLwpUeCdiBeajiU5064qhkNmoaimVjM3KhG3ehMGPKCmQnvay2Mu/z
RQOab+aoPUUxWwsK+Nify6rrn7qw7z93hXii/pOf7KQ9WUWr0jFDS3DhKr61IXuILDc7DOdZrnd7
W5cJm1W1PRsNIRe5R5vQrgi26RIeT5Xa6Du9dG7E2BFoJ1CmoPNyFigNq0VQ2dosKSofqLWZrQKE
Z2eosbuLWvOUtUcM/DWtshrVt2aBc8gsun6D98QoB8qYxCuUITXna2jSm9DM0WPpjn9E3tGTmtXW
KyUCN2IFiXXt29MsIePROY/EGC1Mo04KJrCuv0OG3q4qmyaD7O3yQWPIvMT34x3TkP6M2uX2XLJE
zYjxMw9NHsZzJfGAJZaEN3vIBsN552SkENKYN5djogMTjmn3zUXY2cvAU4NVVNuez+6qw5Li5saZ
jUBmqcne2KS9pV17tRssZQGUvsFevjEHIyakq9NuaeTls4Ipwia22m4bJl5+tLuExkdjMcmc4uLC
OzOU9abs4uJKJVBy0Qs6A0aY2TPY7cYtDzoqbks6VAehJZZG58S7UEudje2R+NSQw/vZyWLn3KrM
5EMbZyn0wkxdoqAlVTOGru6Wg7GyI0/dZm2hLYzYc3nUDKAP2Q3oC7rf/b5S60u6ISv2qeo+RkiO
eUp+VLx8gQEsOLSDcp+1YMp1Pzc/6Bg8Z5YjyRPIKVoKC71WIdR+V4D5WkovY8DYGyRdN9O0hSJe
yWdcGHTU0jrprtSYiYJqjCYI89rjEzCOgbDq7b6pLH/gexK/8x19X6d95ztSQHhGnRoGG+Z8zMh0
IrMUEnwZEjvhSphRvoB/qXwoXdHfOJrm3g3o2C9EMPpnSE3Le3TUEbNKNvhgPYW/DpqhuOl1d1yp
poJ+yY6ZE0lXOWatFAE3bYjY0OAbAPZlsJUgpD28M6AbK2xqMhKIRJ2tGQoYS/rXZ44TKo++lfsL
Xelz4kmTaoPk+xa5EATRujCXXulqd6Jp7LNag3VHRgF0hGmsmcWmeTCSGNqpqUtzkUI62srAtj+x
U/fXpiC5h4b9KW/NY1M31ySyEvcUQ652XTEszDEYLhE074HFj3uIGDY7cIculapJ2rFxG8BbS3qJ
OpBIVPMJHSItKPRKDEaHlE3hslW0/CPy4YT8ldCJWWIDq917to3olcm9zihAWJd5XrUXFdnMyqpn
OTgfglg8m/irngpvbOH9KDBsaFNf5WOMVQsI3WzEp6cu86G1zoy6UTYmno9FFY15SXYTumyg3Gr/
3Fb9XRWMJUNMM1wZMk3AcZTJiiAbJv4MDWa6HMNzrzOddoF2qrZnjcmYqsnbakl2TXgxxhlPaHq/
O4/69RiC+IW0QdbDFTe6u+3dvtuK3Gi3ZHPjY4R08RnmAlvBFK0WiQOdidqB/QIeBrSi9tzRlJyc
NPbZ7cuWO3nZfotpJ85TmE15VHTVJOgUK5VaPpmpHRFg+rST11829c60v9dedvoIuum+Tvv/TnHq
vTvVBPFUHSRTndAkrYBc6ivOBU5qbVWg+r1JpwJDvtQaFjszFqOpBNFfqpFmKkzopXXH9KVaIVS9
p7WIrBhoipgTQuVOcXqlskROT5b3S8njvJQ/aHuzYlOXdj93kKrvemnCNzIKAkFkzIXrxkQt+KZm
n5gwQGyBxjUTWVsfDax16wELNNkTU701luN1IQ1rkSjFlSLCcFMonDAdIuVV2mgGslZ2yspQofTJ
2Qrv7J4AnDagSDOkBy6hiRqSIjE7k6zC90A+nap9FKVpzhtH14+u09m3Jd8BbpmpZIyn4hGEJnUk
CoD4PIhrOgUUmUYWRfPupfK0XqpQdypIC02P1+VUpDZTudpolr8vqWCLqZQNp6I2ncpb3uRU6FLy
yqn4TaYyGKUR07upNDYV37nPjPK+Z0jzYE0FdDOV0uNUVGdTeU3YB5X2OBXdwVR+u1MhPrzU5MlU
nqdToQ7qQpzVU/HeT2U86lwqejkV99lU5o9TwR+xSGOb4W/bMknBEU2dgXhqEjRTu8CcGgeibtzF
z1fUl7jxb61uGg4FF04ALdSJ1vMCbfum8VW5iH5IclHWQ+0Yu4zubS08h5ApkqaEYJ+O8ss8qsYk
ONDcUMxNolXXeGq0+8oJyDqWkFeehrbpdmliDGeKowFZopt3x8Ygv9WdYt+EWbVsVBSjbJ46HBg1
zF/IpTHfaaQj/rWHeANhvaIUqCPG0Jav2LvK8TPSggfele6Klp2VN2YnST5WyTPHIgJynBYyfA6s
aeD3Wd/Gl7XOeFn30OnjHJsWw5+fMA107Rtv4JcnEJtpCAvCts3vKHaI8/3B6AdnjT7oerzT78qT
cldedYfqEgR9dqEkh5+/ovFdHLfBK2oqJNmJa8tSaX/3ih0NFprjobdGYuM9JHkVotw0ouGArnUU
c3bSxRlmlBrhPkj2B80c8SPivv08amZPyNwQeis8G6jvhM2Oejl6Os9wge1LXY+khHysSH65AR/I
o87KchBysWHj06rjQZLymJd7PZVEgEL32bKTYX2inTKzbOeq6UegMWw/aTak0SoxtHI1TKp/JzfH
T4jAiKEGcrVtS9NZk1WtfEjDTu6RQsWXTLkwfBDiRtozG+LrwLXGk9GFEVkMXd8toj6Ut4avT+tX
KpKPLyf1fww1+e/pzsW0auo/ZS3fPCenzD9lp+90p6//8tdevS4E4ArD4ngAvGiXf9Gd0quHEkmP
nHbli+z0t2695sI94CqBWcH65ajOb/5czYQkiVp1IknBkzOt/xZJkiN+dw9apqlrlnC4JdyJZjDd
Md8sWmGMZ0+PCLNkj3tlATLYpHWPkRFf68pV0u4Z6iyOEhjNG3R8w9zuE8KSAgsw7Yg71SWDTl22
pGAwHdU687KyOgabo5dtQdTRL0ji/sCmwTqnciEWx3Nx/zCLfpKwyVdj0kfUUhjDHqrQU6vzaJLo
zuRkJrFMLbitiak7L3NJwEPDTNCj1YEk3OZe2aIIQAHQ+6abbKJIRWrkIwJtGgNHnJl1j144yuWA
WtWJu/bOQsExN/NCwO/XrHCctYNtbKTFVrdUxiKep9Kg2w0hHRUD3b15VjK2mImkJ56MaGMlm2eu
j1anN2gNRAZm0UWguJQ0nhNm6x778wc0Jsz8VQdKDEPVelu4kXej1mFPE1KN42GGSyM4DKgpERIp
PZ0OBIDhBQkl7S1E5DBexjJUz3qV8X7bDQdt0NpNqFXdY64iasEChY+2Sqrqgj0KVTdtItIRE828
9dRO39e6rtwEsa3eKXkWk9yg2+12KFvECXDEllL3/SdnwOQ8961+euOIoSDaoroJkPXljtzk9Ob3
ahKS0MHXnD1YTWFugSMYEledKniTjks3imHtOoZucSFS18PWZA/DAgcxRiRHITHeNy0aaRbwtNmg
0RkLaAziXyIVpFIpjQXjZPiVLHihQpvHbzW4uGO2TxUzQkeHmOLkB2W06wa7O+eCaiJog06hIBxp
aWEndDYD6S7avspRrWkt9gmcoLaShrcFBdVi7BXCAREVXCmKDQTYIeGEssBf5xDJMCd3+gXCPHWZ
OJG/ofpSz/hGydNSKuY5Y6x+Ksdx3AUG0aE5BfX5EHGhyryzH+o461eq3lfbOEcgm2bOTVl2yK5l
TiBBExwx7eHlxvH0AeEVIaCNY5xCrRnO2EAbc1+X+cqizMNLXX1EM3CfIjmYaXbPc7tsb8n7gmyd
saIbS/iz4XVKSrAkf6RAltUE5o68Mt8eMX1nmBeafmoMNXSWzAzD9VwVghkSnYbwhvvAPq+01Lqi
12tl7Af6aJcEindX2apzY9RRHi9yXdOdNb8UQkvu9ZToSZkM1wIhzibmmjqonD5Em8yy6XS5IZW9
jiA4zS3jNosc42Cmjr7RECQRYZbmHv5qcqbVFgy67JA00MXzqgc1of3KTem4N3amFfOoxnA08y1E
qnAzreEILi64JGTGWkwluDYTIw2Ooi99YsZqP7zqHWfAXTwQ7sJUs70vwqg4hKHR7QY1Mw8xMcES
R2M7ciQollDHtStgTTZJ6SUpLV5htjeO24sPTWp3Gwss84ObhOnNQBaypCsWGQ9c3+FnCjRdJ45I
oy2VDSI4aeAPE9CFDmEwHrXjRWQgzB7UVJgwB1O9XMV5VK47v6wz9JResC6aOLuAYajftKnwd540
xXWcVvoeTAzNDE6KdWRaqYEft+hdMhTwjXUDNfZi7CLtspW+tY46IobroEgfIy5hvlVPF7dVXtV7
ULv60tPGcuPQNSPFNXEOWZaOwSyRA65QW/fUM8srtI1bdv6ZqbXRHod4DN7DNDX82mTe3SjUOQTE
WwlxSuwOD3Zcp5eO9NUrQ/RYkNnR6wE5lZ39wU9SVZ83xSAfO/yFaB/Uam6rFDdzaZa0LZxdRCI4
93yUl/UM9ZRcekoeryflS7WEpBnsdBrXm87NDrAR6edrqJkXhT7F3bm1tukdLb20IopEkxt3WdHQ
W0v+Z6Z1Y3ZdtTqiwyqElxu6F0RI+udxn6Je0t3wHM0PiSqCCJZS1u2Zb6ViY6O7f4hHrPBtC783
yrx6jfHaPqu8ge8QLfrec0t2RBRLc9ai7Ax3bTTOc7JblnaaPmhVkpNsrOD6NzLrI/X2ynKaj5GF
qZFbP9hqSDeCUtDuhGT/ZOTIjavCXlqVMswDxjLzNlcwa+nlLlSMcm02JoFAWniBGdImHtpSLjWg
xZsBJwVRc95u6h4AXLF6lVGTMtwhlcYg6wH2vxSeodPe9RUa8UDVxyy5YRDQr1KzdVYI/+4SFTdy
UqBRs2T4ECltl+wE+2yMzG5DaJdvdDCwmrFf1Z7RXmkECZ/3rULiYVzUB0l+pe2Yn5q+2BgoTmZZ
xc6/6quGIBooiE4u9sDJRmeWB4RkziyJ4ZT8qBw9pt1EZ0LPHNq3xQQs600vWVP68X8bUGRrMIw7
GXuMlT0TQdViDFQ65JpTD+kszLti08rklA5JurMSq7nX6Y66cy8YwvNoqFsanhoiHCKXyquyxmQ5
lp1DRWlgSbPbvjlLISekK1CT/qIagBGMjaI/p7Xfhkse8aB4jaIO2MwofjIvuiZEQFhUPAdCUeU9
5kgcLrjXI+sxA298wSa+uwhjdPJFBrPIZrw+c91mmCe6OM9z54KPhV/dN4foRq/Uksa5W8N91cBs
3Hpe8ORyud+PprVg23NuBgy7oYROKiavvKIfGc4Ia0z1uexxmmU6XgtwKOIyIjzwXvGJ1fGhNezA
YOBLwz/GlLurYUC6EuCSE5sPFQ2eTz4vPPM1yg3HReaQpoq9YgAkP+Q2Eh/fSpaAhgH4y7Q5FpHn
305oCvKoOvMzJVDCRMAoVpAbSCp3EjSam6T25abLIOvPWlDHDOwzoq4RS2ZHngHdukni9uCYzrgT
bMhuwxGoRV8p/a4UBCfrZQkhODVrHki2uR9B5dMnESFUXezzM9Otx0d6D+oGJ1610M3RW1Up5Huw
l+aaTs2aScgHXMJMP81wYZsdQWe6XIjKXNgqzkGH5ga6cGLqmk4+6wawKDPnUox7aylUyN4sxMR9
daC8LWVhieFSoV2+y3MsqXExgJ9j2HYCtlrMK4MthVmlMlw6mboq6hCp4iggwEpU5daIRIAI326V
FpV3jnMK1zDqlFXBAAzPqaRA18XBb5szIYbPmlbhnifFQO1RTFjmU5PQLkMygP2drdbBxd6zyiBH
ndWjH6wJs5upFWZ7TOhae1N7sv4wGERS92HfrqDYHVQf/wH5UdVCDaxo4bUES5M+QJwRkdaYLgt3
hc29JxZO7+/5R+0+TO3xQSKZX3qoulcGUOy9WsT61OuZuOBWk8VzEFI2pNzYWJo00DdZaASExtv2
ZdHyLPeagozL0osvhGknBzJKvUvkPA7W3Sze01OKoXtjTj1yh9JoK5hg7qlD0svMF+bzqPb4pGov
A3wotIPZCGvXyMR8dgPPPbcal4DpLgivdeC9DIctg9C8MgvvFS2tz1k2k205xt2CNswj/Rh3Y2dR
svCNqDnUhubcGwARlxkDEhBBPOjZF+kRkpOhTNn5h3q4zVO/AshlFgOrRx3OQMZmqwSh08aVtkWy
lD1cgf+tRjxLzS4PbW+RMa3aIbAZbjsm/Rc9APncsr0jgMD4vlOdcqPbRHcOsb5G9ULktx+VKzu0
tGUqexQngZYfpE2C+azwfII1dMaOTCIWjWuhp0lj8yPGLGTkoZNelA0LHvvH/C7IQvMTWI14x2iU
C1hWxt7R6sKm1dKAiKhCP7iEWoHJo7FIyC3G/tGDMTK3Qp57niN45aGa5jY8x3uY4meMUz9YdUuK
mOKxyyQ3esHI+p4h0Zb86zVw3GKrpcmpb3H48URl3Kez5V2oZkOolaosVPSWC8osNAJF9xiGXXMT
M/XdRbIbuKzbdqubmkZvsUmWoorVRZ/G3qYjkM9VJ9pGmURbO3livoj/zSkwFuQcii2sSrs2kY+D
EgxnCcltUGrghK9Eh+TLSzt1Cd8sX2Vjx+kzOuNCMR1iKoNYHrsGY3Rg5cWDygVzIIK63UYCPTs4
fzLWNCIVwaMxnLWH+jxFFT/vfXQtnhdW7Bei5AQJZ+SjFGTDZWPwSDEmcE5JbRF5ijFr3br8gLC4
u0JmCVUAoYJ2n9m58im13WYF3L/YmD0+LVLRk8LFe5dS9NSOdpQOYkyPpOnKieFMtq4brxwwd/TB
utwaqeTacF5UfF8mRPa7Ies7rqzOWudTBHTmNec6PnYLb4Kd4/6xGowcbeh8dtnwt7W77zOX4xf1
vG8zGAn0AtmeqrvYkqQD2+lz2fWbzndvnMmzY2lteAx5JMI8zoZN5dj+ajAkkfU0n7Yxn/IebXl7
AkFO19T2rFvmMe4+ZxL+qLBnmhjHWTNvaU/T9/KNJaN3+1wfk2KPbTS9tx2vYW9kmttcZUvb6AoS
YZcU+qWGABbFyGjCA800pd+XWcYSDxraXSN9g2ndITRiq587K09GDrqbAZa1V8HxGBLP/uRaisXk
VnXi24It0rJwB/eAzi25K5kmrAfAvxtL6P3JghTAsyPOtGPSDLjAAWBfMluGMm6O/aVSVV01M7u4
nSMuEMQX2uN2pFNx5aauPPmDF66RQRd3Bc83lvhK39qDkS6tuCPkrBZqA2ejsJYN1CzEzmV+WZvw
U6aRh3xWR7+9UTKyCWdVa1TnFpPWZdeQyDeLB+HcJ5U+iTjE5zDO3J0RBB4ahSHUjzTcVYbAenjL
wkEjUa2aYFEoZnPe26PYSZL8EGwM6V3DAOkRhGByzLjdZ0Gd5AdPtuYhQW4Lv2OSRuQBZn8CFER1
jFE2XrC5joppojhsZCRYakoeolc+NGR3FgZmAqQ/ddaxNsrrqGAPS2A27JoUlO3CpYrZC6YB8zLJ
qg+WyoQx1217PlSxf2tETriG/aQ7QOTbaNtlFuGsFeLDlO3ZDrtZd9eOenvjsgu9bETH02SM9NsU
q+rObbXowbcbnkVeNx7MEcnSjDxOf08bVTvPqpawEA2Kohkl5lYtWsyRjDcEdpXIMk+toQTYnGJd
PaGLjEuaB2P/EXyLTa8lcisaD7WhlkvfzRvo8ZW21HOHarf0lHGFlQtLAxKq+6D3itvWLplHFwaF
gUOzf3BEfoG1x4HOEts7R+LO0prWXCA2Tw8IMNliRVOSw8yOwvYOZZS1MNUouPCwUK8lqgUSsrvY
uh8ZzbNpgDpSF05yphAIe5aGkU2UXmOUS7v0omME2ZKv1jmhBmMFQ+w50rRaqQM1OJ9Dm4sSaT3m
bctDxDRjMh6TiDr1HrSUb0mrXW0hlST9oCcq1ESANO0SyYP1gFUxQIAUsV1yY8vC26GUKV5KrSAj
KQQiw6dme6tY/XXoRcl5aDBqg5adzc3egAb5/01r92v7eXGqT8sXgfVl8yyHq+eqSerqVZ88/e0x
D7P6Jv9rv/TzA/3yJTT6X0QOEbWlft8ofnlTL+/4Z8dITnVYN0/P//kfOjhb3P+mKyAMJHnmf/25
bf6DgZIDfYBm8PTnywt9c3L+6OP//JN9OY8//5037/wxb7J6Ov8+eW1vGt7TVOeNpP0PPvt3R/jt
swvyt82JjuUI9eUP/IVvT4E7MXuBM+jml7/mDPF6//On4PSUEp4QVrUMH+s3p8AyXAZJf+YkfHeM
306Cpv6DkZRj29NI6ttPb4GtcASQCevXk/Pv9umZ07/30xO3xVxOGExQX/4wJHl7EqZpiMYA5X/3
Lvju6/uyPHzNlGeCqX9Pc/2DW+G7w/x2FQjzH8SGMaXkUF/+vDkPrvYPxqQ4NFTGLS9//t1uBaI/
LSZM77sVcLdolqaqE8j226tg4vrbqgDE8uc/9p9YJn59muCBTp5eniPhc/Wjx80f/cLrOvr7v/+6
hr5cIiyUb35xeqx8ee3fHjP/9ebSeFnkvvnL10Xv5XW+/vOvH/D3L/3mtV4/1esPN+GzPMlHMkNf
nq1f3+bhlPIs+mf2FBAie5Snp+cqeLPQmROA/bc39J//8ebtfvO9//T4VXVKXw8znRmhTdq09x6W
Te9Jvh5mOixSBp4k7z3s5iSH72e8WCQYyL77yGF6egxOyQ/PNCBwUjXe+xK7E6CdX/7PKS3+7y9n
JySp4ZszxII6bSje+ypnJ5mxEYu/G4S/PBbefWyu0+S7A788bd974P0proLTU/f8XLyegZe71CbT
8fUHP9z4/bq2/ewaPz89BcOP76EpM/L9L3DxFPL2X4/zchcZML5ff/DX3/mxeWoeg2cph9djvRzc
Ikrl9QfvOXgWnR5ej/PlwC+b5/d+m1en6FTVoNLfHNsWxt9wRq7DOA7fLFi6Cqzr9ZX++tm4OaVh
QlD3U/N6rOmMfH2EvveMvHhJf7S06MaL+fO9x//4XNW/zJ4RwCRv3r2F9fP1B3/91JyfWMxZsGr5
5hqnByz+hpV33UQc/c0e3uYyFPrf8LxY52/e8XRc9IDvPyM8lX9NTTmEj/kD6e7bCgXSU/V68Onq
YZesEZn0+qO//g38Ey7tHz+eVBRLKBzf/zLn4ZjLt9sBDj2F6P4N3/MN8F3ob6/vcjo/Xw/+N9y9
i9MTuyTOP3cw9MFfNqf2OQl/91ps5V9/9te/jOkVpq/69UhfP8lUcvwNp+nnech/7G7/c0/CZ589
zmn4/lv4Wi69dxla/CRd7J3vfPHr/fbHKUXvfIn5FO4R/o5dqWqcnb/jJv4zdMx3foQ/wSx45yv8
yxSUdx7/X+o433n8/ekJpsO3t65Nha8KCxMynS2EWZD3X//6r68RP16PfvknC9QfXsk2e0bVgoMl
jCkNyyRr61+9kR/Vm792435fhb42Gn/0z96W2NNvPCbPJ/lf/w8AAP//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rgbClr val="000000">
                <a:lumMod val="65000"/>
                <a:lumOff val="35000"/>
              </a:srgbClr>
            </a:solidFill>
            <a:latin typeface="Arial"/>
            <a:cs typeface="Arial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29264</xdr:colOff>
      <xdr:row>0</xdr:row>
      <xdr:rowOff>160433</xdr:rowOff>
    </xdr:from>
    <xdr:to>
      <xdr:col>12</xdr:col>
      <xdr:colOff>0</xdr:colOff>
      <xdr:row>11</xdr:row>
      <xdr:rowOff>28691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DB1FCF-1CAF-2A07-2B61-BDD1B33630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611001</xdr:colOff>
      <xdr:row>6</xdr:row>
      <xdr:rowOff>28169</xdr:rowOff>
    </xdr:from>
    <xdr:to>
      <xdr:col>20</xdr:col>
      <xdr:colOff>441012</xdr:colOff>
      <xdr:row>23</xdr:row>
      <xdr:rowOff>40104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8A9D851-174E-5D47-A552-70A138FAAE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45401" y="999719"/>
              <a:ext cx="3487611" cy="2764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99"/>
  <sheetViews>
    <sheetView topLeftCell="F1" zoomScale="130" zoomScaleNormal="130" workbookViewId="0"/>
  </sheetViews>
  <sheetFormatPr defaultColWidth="12.5703125" defaultRowHeight="15.75" customHeight="1" x14ac:dyDescent="0.2"/>
  <cols>
    <col min="2" max="2" width="25.42578125" hidden="1" customWidth="1"/>
    <col min="3" max="3" width="12.85546875" bestFit="1" customWidth="1"/>
    <col min="4" max="4" width="24.7109375" bestFit="1" customWidth="1"/>
    <col min="5" max="5" width="18.5703125" bestFit="1" customWidth="1"/>
    <col min="6" max="6" width="19.85546875" bestFit="1" customWidth="1"/>
    <col min="7" max="7" width="7.7109375" customWidth="1"/>
    <col min="8" max="8" width="19.85546875" bestFit="1" customWidth="1"/>
    <col min="9" max="9" width="10.7109375" customWidth="1"/>
    <col min="10" max="10" width="42.42578125" bestFit="1" customWidth="1"/>
    <col min="11" max="11" width="34.85546875" bestFit="1" customWidth="1"/>
    <col min="12" max="12" width="12.85546875" bestFit="1" customWidth="1"/>
  </cols>
  <sheetData>
    <row r="1" spans="1:23" ht="15.7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ht="15.75" customHeight="1" x14ac:dyDescent="0.25">
      <c r="A2" s="6">
        <v>1</v>
      </c>
      <c r="B2" s="7" t="s">
        <v>12</v>
      </c>
      <c r="C2" s="6" t="s">
        <v>13</v>
      </c>
      <c r="D2" s="8">
        <v>3</v>
      </c>
      <c r="E2" s="8"/>
      <c r="F2" s="8"/>
      <c r="G2" s="8"/>
      <c r="H2" s="8"/>
      <c r="I2" s="8"/>
      <c r="J2" s="8"/>
      <c r="K2" s="8"/>
      <c r="L2" s="8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ht="15.75" customHeight="1" x14ac:dyDescent="0.25">
      <c r="A3" s="6">
        <v>2</v>
      </c>
      <c r="B3" s="7" t="s">
        <v>14</v>
      </c>
      <c r="C3" s="6" t="s">
        <v>15</v>
      </c>
      <c r="D3" s="8">
        <v>4</v>
      </c>
      <c r="E3" s="8" t="s">
        <v>16</v>
      </c>
      <c r="F3" s="8" t="s">
        <v>17</v>
      </c>
      <c r="G3" s="8" t="s">
        <v>18</v>
      </c>
      <c r="H3" s="8" t="s">
        <v>19</v>
      </c>
      <c r="I3" s="8" t="s">
        <v>20</v>
      </c>
      <c r="J3" s="8" t="s">
        <v>21</v>
      </c>
      <c r="K3" s="8" t="s">
        <v>21</v>
      </c>
      <c r="L3" s="8" t="s">
        <v>22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15.75" customHeight="1" x14ac:dyDescent="0.25">
      <c r="A4" s="6">
        <v>3</v>
      </c>
      <c r="B4" s="7" t="s">
        <v>23</v>
      </c>
      <c r="C4" s="6" t="s">
        <v>13</v>
      </c>
      <c r="D4" s="8">
        <v>5</v>
      </c>
      <c r="E4" s="8" t="s">
        <v>16</v>
      </c>
      <c r="F4" s="8" t="s">
        <v>24</v>
      </c>
      <c r="G4" s="8" t="s">
        <v>18</v>
      </c>
      <c r="H4" s="8" t="s">
        <v>19</v>
      </c>
      <c r="I4" s="8" t="s">
        <v>25</v>
      </c>
      <c r="J4" s="8">
        <v>1E+21</v>
      </c>
      <c r="K4" s="8">
        <v>3</v>
      </c>
      <c r="L4" s="8" t="s">
        <v>26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ht="15.75" customHeight="1" x14ac:dyDescent="0.25">
      <c r="A5" s="6">
        <v>4</v>
      </c>
      <c r="B5" s="7" t="s">
        <v>27</v>
      </c>
      <c r="C5" s="6" t="s">
        <v>13</v>
      </c>
      <c r="D5" s="9">
        <v>4</v>
      </c>
      <c r="E5" s="8" t="s">
        <v>28</v>
      </c>
      <c r="F5" s="8" t="s">
        <v>29</v>
      </c>
      <c r="G5" s="8" t="s">
        <v>30</v>
      </c>
      <c r="H5" s="8" t="s">
        <v>31</v>
      </c>
      <c r="I5" s="10" t="s">
        <v>20</v>
      </c>
      <c r="J5" s="8">
        <v>100</v>
      </c>
      <c r="K5" s="8">
        <v>0</v>
      </c>
      <c r="L5" s="8" t="s">
        <v>32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ht="15.75" customHeight="1" x14ac:dyDescent="0.25">
      <c r="A6" s="6">
        <v>5</v>
      </c>
      <c r="B6" s="7" t="s">
        <v>33</v>
      </c>
      <c r="C6" s="6"/>
      <c r="D6" s="8"/>
      <c r="E6" s="8"/>
      <c r="F6" s="8"/>
      <c r="G6" s="8"/>
      <c r="H6" s="8"/>
      <c r="I6" s="8"/>
      <c r="J6" s="8"/>
      <c r="K6" s="8"/>
      <c r="L6" s="8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15.75" customHeight="1" x14ac:dyDescent="0.25">
      <c r="A7" s="6">
        <v>6</v>
      </c>
      <c r="B7" s="7" t="s">
        <v>34</v>
      </c>
      <c r="C7" s="6" t="s">
        <v>35</v>
      </c>
      <c r="D7" s="8">
        <v>8</v>
      </c>
      <c r="E7" s="8" t="s">
        <v>36</v>
      </c>
      <c r="F7" s="8" t="s">
        <v>37</v>
      </c>
      <c r="G7" s="8"/>
      <c r="H7" s="8"/>
      <c r="I7" s="8"/>
      <c r="J7" s="8"/>
      <c r="K7" s="8"/>
      <c r="L7" s="8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15.75" customHeight="1" x14ac:dyDescent="0.25">
      <c r="A8" s="6">
        <v>7</v>
      </c>
      <c r="B8" s="7" t="s">
        <v>38</v>
      </c>
      <c r="C8" s="6" t="s">
        <v>39</v>
      </c>
      <c r="D8" s="8">
        <v>5</v>
      </c>
      <c r="E8" s="8" t="s">
        <v>16</v>
      </c>
      <c r="F8" s="8" t="s">
        <v>40</v>
      </c>
      <c r="G8" s="8"/>
      <c r="H8" s="8"/>
      <c r="I8" s="8"/>
      <c r="J8" s="8"/>
      <c r="K8" s="8"/>
      <c r="L8" s="8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ht="15.75" customHeight="1" x14ac:dyDescent="0.25">
      <c r="A9" s="6">
        <v>8</v>
      </c>
      <c r="B9" s="7" t="s">
        <v>41</v>
      </c>
      <c r="C9" s="6" t="s">
        <v>42</v>
      </c>
      <c r="D9" s="8">
        <v>5</v>
      </c>
      <c r="E9" s="8" t="s">
        <v>16</v>
      </c>
      <c r="F9" s="8" t="s">
        <v>43</v>
      </c>
      <c r="G9" s="8"/>
      <c r="H9" s="8"/>
      <c r="I9" s="8"/>
      <c r="J9" s="8"/>
      <c r="K9" s="8"/>
      <c r="L9" s="8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5.75" customHeight="1" x14ac:dyDescent="0.25">
      <c r="A10" s="6">
        <v>9</v>
      </c>
      <c r="B10" s="7" t="s">
        <v>44</v>
      </c>
      <c r="C10" s="6" t="s">
        <v>45</v>
      </c>
      <c r="D10" s="8">
        <v>5</v>
      </c>
      <c r="E10" s="8" t="s">
        <v>46</v>
      </c>
      <c r="F10" s="8" t="s">
        <v>40</v>
      </c>
      <c r="G10" s="8" t="s">
        <v>18</v>
      </c>
      <c r="H10" s="8" t="s">
        <v>47</v>
      </c>
      <c r="I10" s="8" t="s">
        <v>20</v>
      </c>
      <c r="J10" s="8">
        <v>1000000</v>
      </c>
      <c r="K10" s="8">
        <v>10</v>
      </c>
      <c r="L10" s="8" t="s">
        <v>48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5.75" customHeight="1" x14ac:dyDescent="0.25">
      <c r="A11" s="6">
        <v>10</v>
      </c>
      <c r="B11" s="7" t="s">
        <v>49</v>
      </c>
      <c r="C11" s="6" t="s">
        <v>50</v>
      </c>
      <c r="D11" s="8">
        <v>3</v>
      </c>
      <c r="E11" s="8" t="s">
        <v>16</v>
      </c>
      <c r="F11" s="8" t="s">
        <v>43</v>
      </c>
      <c r="G11" s="8" t="s">
        <v>18</v>
      </c>
      <c r="H11" s="8" t="s">
        <v>51</v>
      </c>
      <c r="I11" s="8" t="s">
        <v>52</v>
      </c>
      <c r="J11" s="8">
        <v>12351232</v>
      </c>
      <c r="K11" s="8">
        <v>0</v>
      </c>
      <c r="L11" s="8" t="s">
        <v>53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ht="15.75" customHeight="1" x14ac:dyDescent="0.25">
      <c r="A12" s="6">
        <v>11</v>
      </c>
      <c r="B12" s="7" t="s">
        <v>54</v>
      </c>
      <c r="C12" s="6" t="s">
        <v>13</v>
      </c>
      <c r="D12" s="8">
        <v>3</v>
      </c>
      <c r="E12" s="8" t="s">
        <v>16</v>
      </c>
      <c r="F12" s="8" t="s">
        <v>43</v>
      </c>
      <c r="G12" s="8" t="s">
        <v>30</v>
      </c>
      <c r="H12" s="8" t="s">
        <v>51</v>
      </c>
      <c r="I12" s="8" t="s">
        <v>55</v>
      </c>
      <c r="J12" s="8">
        <v>100</v>
      </c>
      <c r="K12" s="8">
        <v>1</v>
      </c>
      <c r="L12" s="8" t="s">
        <v>56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ht="15.75" customHeight="1" x14ac:dyDescent="0.25">
      <c r="A13" s="6">
        <v>12</v>
      </c>
      <c r="B13" s="7" t="s">
        <v>57</v>
      </c>
      <c r="C13" s="6" t="s">
        <v>35</v>
      </c>
      <c r="D13" s="8">
        <v>5</v>
      </c>
      <c r="E13" s="8" t="s">
        <v>58</v>
      </c>
      <c r="F13" s="8"/>
      <c r="G13" s="8"/>
      <c r="H13" s="8"/>
      <c r="I13" s="8"/>
      <c r="J13" s="8" t="s">
        <v>59</v>
      </c>
      <c r="K13" s="8"/>
      <c r="L13" s="8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ht="15.75" customHeight="1" x14ac:dyDescent="0.25">
      <c r="A14" s="6">
        <v>13</v>
      </c>
      <c r="B14" s="7" t="s">
        <v>60</v>
      </c>
      <c r="C14" s="6" t="s">
        <v>61</v>
      </c>
      <c r="D14" s="8">
        <v>5</v>
      </c>
      <c r="E14" s="8" t="s">
        <v>46</v>
      </c>
      <c r="F14" s="8" t="s">
        <v>43</v>
      </c>
      <c r="G14" s="8" t="s">
        <v>18</v>
      </c>
      <c r="H14" s="8" t="s">
        <v>62</v>
      </c>
      <c r="I14" s="8" t="s">
        <v>20</v>
      </c>
      <c r="J14" s="8">
        <v>1000000000</v>
      </c>
      <c r="K14" s="8">
        <v>1</v>
      </c>
      <c r="L14" s="8" t="s">
        <v>63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ht="15.75" customHeight="1" x14ac:dyDescent="0.25">
      <c r="A15" s="6">
        <v>14</v>
      </c>
      <c r="B15" s="7" t="s">
        <v>64</v>
      </c>
      <c r="C15" s="6" t="s">
        <v>65</v>
      </c>
      <c r="D15" s="8">
        <v>5</v>
      </c>
      <c r="E15" s="8" t="s">
        <v>66</v>
      </c>
      <c r="F15" s="8" t="s">
        <v>67</v>
      </c>
      <c r="G15" s="8" t="s">
        <v>18</v>
      </c>
      <c r="H15" s="8" t="s">
        <v>62</v>
      </c>
      <c r="I15" s="8" t="s">
        <v>20</v>
      </c>
      <c r="J15" s="8">
        <v>2</v>
      </c>
      <c r="K15" s="8">
        <v>0</v>
      </c>
      <c r="L15" s="8" t="s">
        <v>68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ht="15.75" customHeight="1" x14ac:dyDescent="0.25">
      <c r="A16" s="6">
        <v>15</v>
      </c>
      <c r="B16" s="7" t="s">
        <v>69</v>
      </c>
      <c r="C16" s="6"/>
      <c r="D16" s="8"/>
      <c r="E16" s="8"/>
      <c r="F16" s="8"/>
      <c r="G16" s="8"/>
      <c r="H16" s="8"/>
      <c r="I16" s="8"/>
      <c r="J16" s="8"/>
      <c r="K16" s="8"/>
      <c r="L16" s="8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ht="15.75" customHeight="1" x14ac:dyDescent="0.25">
      <c r="A17" s="6">
        <v>16</v>
      </c>
      <c r="B17" s="7" t="s">
        <v>70</v>
      </c>
      <c r="C17" s="6"/>
      <c r="D17" s="8"/>
      <c r="E17" s="8"/>
      <c r="F17" s="8"/>
      <c r="G17" s="8"/>
      <c r="H17" s="8"/>
      <c r="I17" s="8"/>
      <c r="J17" s="8"/>
      <c r="K17" s="8"/>
      <c r="L17" s="8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ht="15.75" customHeight="1" x14ac:dyDescent="0.25">
      <c r="A18" s="6">
        <v>17</v>
      </c>
      <c r="B18" s="7" t="s">
        <v>71</v>
      </c>
      <c r="C18" s="6" t="s">
        <v>72</v>
      </c>
      <c r="D18" s="8">
        <v>3</v>
      </c>
      <c r="E18" s="8" t="s">
        <v>73</v>
      </c>
      <c r="F18" s="8" t="s">
        <v>74</v>
      </c>
      <c r="G18" s="8" t="s">
        <v>30</v>
      </c>
      <c r="H18" s="8" t="s">
        <v>51</v>
      </c>
      <c r="I18" s="8" t="s">
        <v>75</v>
      </c>
      <c r="J18" s="8">
        <v>10000000</v>
      </c>
      <c r="K18" s="8">
        <v>4</v>
      </c>
      <c r="L18" s="8" t="s">
        <v>76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ht="15.75" customHeight="1" x14ac:dyDescent="0.25">
      <c r="A19" s="6">
        <v>18</v>
      </c>
      <c r="B19" s="7" t="s">
        <v>77</v>
      </c>
      <c r="C19" s="6" t="s">
        <v>78</v>
      </c>
      <c r="D19" s="8">
        <v>2</v>
      </c>
      <c r="E19" s="8" t="s">
        <v>79</v>
      </c>
      <c r="F19" s="8" t="s">
        <v>80</v>
      </c>
      <c r="G19" s="8" t="s">
        <v>81</v>
      </c>
      <c r="H19" s="8" t="s">
        <v>19</v>
      </c>
      <c r="I19" s="8" t="s">
        <v>82</v>
      </c>
      <c r="J19" s="8">
        <v>600000</v>
      </c>
      <c r="K19" s="8">
        <v>5</v>
      </c>
      <c r="L19" s="8" t="s">
        <v>22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ht="15.75" customHeight="1" x14ac:dyDescent="0.25">
      <c r="A20" s="6">
        <v>19</v>
      </c>
      <c r="B20" s="7" t="s">
        <v>83</v>
      </c>
      <c r="C20" s="6" t="s">
        <v>45</v>
      </c>
      <c r="D20" s="8">
        <v>3</v>
      </c>
      <c r="E20" s="8" t="s">
        <v>79</v>
      </c>
      <c r="F20" s="8" t="s">
        <v>80</v>
      </c>
      <c r="G20" s="8" t="s">
        <v>18</v>
      </c>
      <c r="H20" s="8" t="s">
        <v>19</v>
      </c>
      <c r="I20" s="8" t="s">
        <v>82</v>
      </c>
      <c r="J20" s="8">
        <v>700000</v>
      </c>
      <c r="K20" s="8">
        <v>3</v>
      </c>
      <c r="L20" s="8" t="s">
        <v>22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ht="15.75" customHeight="1" x14ac:dyDescent="0.25">
      <c r="A21" s="6">
        <v>20</v>
      </c>
      <c r="B21" s="7" t="s">
        <v>84</v>
      </c>
      <c r="C21" s="6" t="s">
        <v>85</v>
      </c>
      <c r="D21" s="8">
        <v>3</v>
      </c>
      <c r="E21" s="8" t="s">
        <v>16</v>
      </c>
      <c r="F21" s="8" t="s">
        <v>80</v>
      </c>
      <c r="G21" s="8" t="s">
        <v>18</v>
      </c>
      <c r="H21" s="8" t="s">
        <v>19</v>
      </c>
      <c r="I21" s="8" t="s">
        <v>82</v>
      </c>
      <c r="J21" s="8">
        <v>800000</v>
      </c>
      <c r="K21" s="8">
        <v>1</v>
      </c>
      <c r="L21" s="8" t="s">
        <v>22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ht="15.75" customHeight="1" x14ac:dyDescent="0.25">
      <c r="A22" s="6">
        <v>21</v>
      </c>
      <c r="B22" s="7" t="s">
        <v>86</v>
      </c>
      <c r="C22" s="6"/>
      <c r="D22" s="8"/>
      <c r="E22" s="8"/>
      <c r="F22" s="8"/>
      <c r="G22" s="8"/>
      <c r="H22" s="8"/>
      <c r="I22" s="8"/>
      <c r="J22" s="8"/>
      <c r="K22" s="8"/>
      <c r="L22" s="8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ht="15" x14ac:dyDescent="0.25">
      <c r="A23" s="6">
        <v>22</v>
      </c>
      <c r="B23" s="7" t="s">
        <v>87</v>
      </c>
      <c r="C23" s="6" t="s">
        <v>88</v>
      </c>
      <c r="D23" s="8">
        <v>4</v>
      </c>
      <c r="E23" s="8" t="s">
        <v>16</v>
      </c>
      <c r="F23" s="8" t="s">
        <v>89</v>
      </c>
      <c r="G23" s="8" t="s">
        <v>90</v>
      </c>
      <c r="H23" s="8" t="s">
        <v>19</v>
      </c>
      <c r="I23" s="8" t="s">
        <v>91</v>
      </c>
      <c r="J23" s="8">
        <v>300000000</v>
      </c>
      <c r="K23" s="8">
        <v>1</v>
      </c>
      <c r="L23" s="8" t="s">
        <v>92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ht="15" x14ac:dyDescent="0.25">
      <c r="A24" s="6">
        <v>23</v>
      </c>
      <c r="B24" s="7" t="s">
        <v>93</v>
      </c>
      <c r="C24" s="6" t="s">
        <v>94</v>
      </c>
      <c r="D24" s="8">
        <v>5</v>
      </c>
      <c r="E24" s="8" t="s">
        <v>16</v>
      </c>
      <c r="F24" s="8" t="s">
        <v>67</v>
      </c>
      <c r="G24" s="8" t="s">
        <v>95</v>
      </c>
      <c r="H24" s="8" t="s">
        <v>19</v>
      </c>
      <c r="I24" s="8" t="s">
        <v>91</v>
      </c>
      <c r="J24" s="8">
        <v>100000</v>
      </c>
      <c r="K24" s="8">
        <v>0</v>
      </c>
      <c r="L24" s="8" t="s">
        <v>22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ht="15" x14ac:dyDescent="0.25">
      <c r="A25" s="6">
        <v>24</v>
      </c>
      <c r="B25" s="7" t="s">
        <v>96</v>
      </c>
      <c r="C25" s="6" t="s">
        <v>97</v>
      </c>
      <c r="D25" s="8">
        <v>4</v>
      </c>
      <c r="E25" s="8" t="s">
        <v>79</v>
      </c>
      <c r="F25" s="8" t="s">
        <v>74</v>
      </c>
      <c r="G25" s="8" t="s">
        <v>81</v>
      </c>
      <c r="H25" s="8" t="s">
        <v>19</v>
      </c>
      <c r="I25" s="8" t="s">
        <v>91</v>
      </c>
      <c r="J25" s="8">
        <v>60000</v>
      </c>
      <c r="K25" s="8">
        <v>0</v>
      </c>
      <c r="L25" s="8" t="s">
        <v>98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ht="15" x14ac:dyDescent="0.25">
      <c r="A26" s="6">
        <v>25</v>
      </c>
      <c r="B26" s="11" t="s">
        <v>99</v>
      </c>
      <c r="C26" s="6" t="s">
        <v>100</v>
      </c>
      <c r="D26" s="8">
        <v>4</v>
      </c>
      <c r="E26" s="8" t="s">
        <v>16</v>
      </c>
      <c r="F26" s="8" t="s">
        <v>40</v>
      </c>
      <c r="G26" s="8"/>
      <c r="H26" s="8"/>
      <c r="I26" s="8"/>
      <c r="J26" s="8"/>
      <c r="K26" s="8"/>
      <c r="L26" s="8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ht="15" x14ac:dyDescent="0.25">
      <c r="A27" s="6">
        <v>26</v>
      </c>
      <c r="B27" s="11" t="s">
        <v>101</v>
      </c>
      <c r="C27" s="6" t="s">
        <v>102</v>
      </c>
      <c r="D27" s="8">
        <v>5</v>
      </c>
      <c r="E27" s="8" t="s">
        <v>73</v>
      </c>
      <c r="F27" s="8" t="s">
        <v>103</v>
      </c>
      <c r="G27" s="8" t="s">
        <v>30</v>
      </c>
      <c r="H27" s="8" t="s">
        <v>51</v>
      </c>
      <c r="I27" s="8" t="s">
        <v>104</v>
      </c>
      <c r="J27" s="8">
        <v>676767</v>
      </c>
      <c r="K27" s="8">
        <v>3</v>
      </c>
      <c r="L27" s="8" t="s">
        <v>63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ht="15" x14ac:dyDescent="0.25">
      <c r="A28" s="6">
        <v>27</v>
      </c>
      <c r="B28" s="11" t="s">
        <v>105</v>
      </c>
      <c r="C28" s="6" t="s">
        <v>13</v>
      </c>
      <c r="D28" s="8">
        <v>4</v>
      </c>
      <c r="E28" s="8" t="s">
        <v>73</v>
      </c>
      <c r="F28" s="8" t="s">
        <v>106</v>
      </c>
      <c r="G28" s="8" t="s">
        <v>30</v>
      </c>
      <c r="H28" s="8" t="s">
        <v>51</v>
      </c>
      <c r="I28" s="8" t="s">
        <v>104</v>
      </c>
      <c r="J28" s="8">
        <v>600000</v>
      </c>
      <c r="K28" s="8">
        <v>2</v>
      </c>
      <c r="L28" s="8" t="s">
        <v>63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ht="15" x14ac:dyDescent="0.25">
      <c r="A29" s="6">
        <v>28</v>
      </c>
      <c r="B29" s="7" t="s">
        <v>107</v>
      </c>
      <c r="C29" s="12" t="s">
        <v>102</v>
      </c>
      <c r="D29" s="8">
        <v>2</v>
      </c>
      <c r="E29" s="8" t="s">
        <v>73</v>
      </c>
      <c r="F29" s="8" t="s">
        <v>74</v>
      </c>
      <c r="G29" s="8" t="s">
        <v>30</v>
      </c>
      <c r="H29" s="8" t="s">
        <v>51</v>
      </c>
      <c r="I29" s="8" t="s">
        <v>104</v>
      </c>
      <c r="J29" s="8">
        <v>100000</v>
      </c>
      <c r="K29" s="8" t="s">
        <v>108</v>
      </c>
      <c r="L29" s="8" t="s">
        <v>63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ht="15" x14ac:dyDescent="0.25">
      <c r="A30" s="6">
        <v>29</v>
      </c>
      <c r="B30" s="7" t="s">
        <v>109</v>
      </c>
      <c r="C30" s="6" t="s">
        <v>102</v>
      </c>
      <c r="D30" s="8">
        <v>4</v>
      </c>
      <c r="E30" s="8" t="s">
        <v>73</v>
      </c>
      <c r="F30" s="8" t="s">
        <v>74</v>
      </c>
      <c r="G30" s="8" t="s">
        <v>81</v>
      </c>
      <c r="H30" s="8" t="s">
        <v>51</v>
      </c>
      <c r="I30" s="8" t="s">
        <v>91</v>
      </c>
      <c r="J30" s="8">
        <v>50000</v>
      </c>
      <c r="K30" s="8" t="s">
        <v>108</v>
      </c>
      <c r="L30" s="8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ht="15" x14ac:dyDescent="0.25">
      <c r="A31" s="6">
        <v>30</v>
      </c>
      <c r="B31" s="7" t="s">
        <v>110</v>
      </c>
      <c r="C31" s="6" t="s">
        <v>102</v>
      </c>
      <c r="D31" s="8">
        <v>3</v>
      </c>
      <c r="E31" s="8" t="s">
        <v>111</v>
      </c>
      <c r="F31" s="8" t="s">
        <v>112</v>
      </c>
      <c r="G31" s="8" t="s">
        <v>30</v>
      </c>
      <c r="H31" s="8" t="s">
        <v>113</v>
      </c>
      <c r="I31" s="8" t="s">
        <v>114</v>
      </c>
      <c r="J31" s="8">
        <v>100000</v>
      </c>
      <c r="K31" s="8">
        <v>1</v>
      </c>
      <c r="L31" s="8" t="s">
        <v>115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ht="15" x14ac:dyDescent="0.25">
      <c r="A32" s="6">
        <v>31</v>
      </c>
      <c r="B32" s="7" t="s">
        <v>116</v>
      </c>
      <c r="C32" s="6" t="s">
        <v>117</v>
      </c>
      <c r="D32" s="8">
        <v>3</v>
      </c>
      <c r="E32" s="8" t="s">
        <v>73</v>
      </c>
      <c r="F32" s="8" t="s">
        <v>118</v>
      </c>
      <c r="G32" s="8" t="s">
        <v>30</v>
      </c>
      <c r="H32" s="8" t="s">
        <v>51</v>
      </c>
      <c r="I32" s="8" t="s">
        <v>119</v>
      </c>
      <c r="J32" s="8">
        <v>100000</v>
      </c>
      <c r="K32" s="9">
        <v>1</v>
      </c>
      <c r="L32" s="8" t="s">
        <v>63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ht="15" x14ac:dyDescent="0.25">
      <c r="A33" s="6">
        <v>32</v>
      </c>
      <c r="B33" s="7" t="s">
        <v>120</v>
      </c>
      <c r="C33" s="6" t="s">
        <v>97</v>
      </c>
      <c r="D33" s="8">
        <v>3</v>
      </c>
      <c r="E33" s="8" t="s">
        <v>111</v>
      </c>
      <c r="F33" s="8" t="s">
        <v>74</v>
      </c>
      <c r="G33" s="8" t="s">
        <v>90</v>
      </c>
      <c r="H33" s="8" t="s">
        <v>51</v>
      </c>
      <c r="I33" s="8" t="s">
        <v>119</v>
      </c>
      <c r="J33" s="8">
        <v>50000</v>
      </c>
      <c r="K33" s="8">
        <v>2</v>
      </c>
      <c r="L33" s="8" t="s">
        <v>32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ht="15" x14ac:dyDescent="0.25">
      <c r="A34" s="6">
        <v>33</v>
      </c>
      <c r="B34" s="7" t="s">
        <v>121</v>
      </c>
      <c r="C34" s="6" t="s">
        <v>122</v>
      </c>
      <c r="D34" s="8">
        <v>3</v>
      </c>
      <c r="E34" s="8" t="s">
        <v>73</v>
      </c>
      <c r="F34" s="8" t="s">
        <v>74</v>
      </c>
      <c r="G34" s="8" t="s">
        <v>90</v>
      </c>
      <c r="H34" s="8" t="s">
        <v>51</v>
      </c>
      <c r="I34" s="8" t="s">
        <v>119</v>
      </c>
      <c r="J34" s="8">
        <v>100000</v>
      </c>
      <c r="K34" s="8">
        <v>0</v>
      </c>
      <c r="L34" s="8" t="s">
        <v>63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 ht="15" x14ac:dyDescent="0.25">
      <c r="A35" s="6">
        <v>34</v>
      </c>
      <c r="B35" s="7" t="s">
        <v>123</v>
      </c>
      <c r="C35" s="6" t="s">
        <v>124</v>
      </c>
      <c r="D35" s="8">
        <v>4</v>
      </c>
      <c r="E35" s="8" t="s">
        <v>73</v>
      </c>
      <c r="F35" s="8" t="s">
        <v>74</v>
      </c>
      <c r="G35" s="8" t="s">
        <v>90</v>
      </c>
      <c r="H35" s="8" t="s">
        <v>51</v>
      </c>
      <c r="I35" s="8" t="s">
        <v>125</v>
      </c>
      <c r="J35" s="8">
        <v>100000</v>
      </c>
      <c r="K35" s="8">
        <v>3</v>
      </c>
      <c r="L35" s="8" t="s">
        <v>126</v>
      </c>
      <c r="M35" s="5"/>
      <c r="N35" s="5"/>
      <c r="O35" s="5"/>
      <c r="P35" s="5" t="s">
        <v>127</v>
      </c>
      <c r="Q35" s="5"/>
      <c r="R35" s="5"/>
      <c r="S35" s="5"/>
      <c r="T35" s="5"/>
      <c r="U35" s="5"/>
      <c r="V35" s="5"/>
      <c r="W35" s="5"/>
    </row>
    <row r="36" spans="1:23" ht="15" x14ac:dyDescent="0.25">
      <c r="A36" s="6">
        <v>35</v>
      </c>
      <c r="B36" s="7" t="s">
        <v>128</v>
      </c>
      <c r="C36" s="6" t="s">
        <v>129</v>
      </c>
      <c r="D36" s="8">
        <v>5</v>
      </c>
      <c r="E36" s="8" t="s">
        <v>73</v>
      </c>
      <c r="F36" s="8" t="s">
        <v>74</v>
      </c>
      <c r="G36" s="8" t="s">
        <v>30</v>
      </c>
      <c r="H36" s="8" t="s">
        <v>51</v>
      </c>
      <c r="I36" s="8" t="s">
        <v>75</v>
      </c>
      <c r="J36" s="8">
        <v>20000000</v>
      </c>
      <c r="K36" s="8" t="s">
        <v>108</v>
      </c>
      <c r="L36" s="8" t="s">
        <v>76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 ht="15" x14ac:dyDescent="0.25">
      <c r="A37" s="6">
        <v>36</v>
      </c>
      <c r="B37" s="7" t="s">
        <v>130</v>
      </c>
      <c r="C37" s="6" t="s">
        <v>131</v>
      </c>
      <c r="D37" s="8">
        <v>4</v>
      </c>
      <c r="E37" s="8" t="s">
        <v>73</v>
      </c>
      <c r="F37" s="8"/>
      <c r="G37" s="8"/>
      <c r="H37" s="8"/>
      <c r="I37" s="8"/>
      <c r="J37" s="8"/>
      <c r="K37" s="8"/>
      <c r="L37" s="8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ht="15" x14ac:dyDescent="0.25">
      <c r="A38" s="6">
        <v>37</v>
      </c>
      <c r="B38" s="7" t="s">
        <v>132</v>
      </c>
      <c r="C38" s="6" t="s">
        <v>13</v>
      </c>
      <c r="D38" s="8">
        <v>3</v>
      </c>
      <c r="E38" s="8" t="s">
        <v>16</v>
      </c>
      <c r="F38" s="8" t="s">
        <v>89</v>
      </c>
      <c r="G38" s="8" t="s">
        <v>90</v>
      </c>
      <c r="H38" s="8" t="s">
        <v>51</v>
      </c>
      <c r="I38" s="8" t="s">
        <v>119</v>
      </c>
      <c r="J38" s="8">
        <v>2000000</v>
      </c>
      <c r="K38" s="8">
        <v>0</v>
      </c>
      <c r="L38" s="8" t="s">
        <v>98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ht="15" x14ac:dyDescent="0.25">
      <c r="A39" s="6">
        <v>38</v>
      </c>
      <c r="B39" s="7" t="s">
        <v>133</v>
      </c>
      <c r="C39" s="6" t="s">
        <v>134</v>
      </c>
      <c r="D39" s="8">
        <v>4</v>
      </c>
      <c r="E39" s="8" t="s">
        <v>135</v>
      </c>
      <c r="F39" s="8" t="s">
        <v>29</v>
      </c>
      <c r="G39" s="8" t="s">
        <v>30</v>
      </c>
      <c r="H39" s="8" t="s">
        <v>136</v>
      </c>
      <c r="I39" s="8" t="s">
        <v>104</v>
      </c>
      <c r="J39" s="8">
        <v>800000</v>
      </c>
      <c r="K39" s="8">
        <v>2</v>
      </c>
      <c r="L39" s="8" t="s">
        <v>63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ht="15" x14ac:dyDescent="0.25">
      <c r="A40" s="6">
        <v>39</v>
      </c>
      <c r="B40" s="7" t="s">
        <v>137</v>
      </c>
      <c r="C40" s="6" t="s">
        <v>102</v>
      </c>
      <c r="D40" s="8">
        <v>3</v>
      </c>
      <c r="E40" s="8" t="s">
        <v>16</v>
      </c>
      <c r="F40" s="8" t="s">
        <v>40</v>
      </c>
      <c r="G40" s="8" t="s">
        <v>138</v>
      </c>
      <c r="H40" s="8" t="s">
        <v>136</v>
      </c>
      <c r="I40" s="8" t="s">
        <v>139</v>
      </c>
      <c r="J40" s="8">
        <v>100000000</v>
      </c>
      <c r="K40" s="8">
        <v>1</v>
      </c>
      <c r="L40" s="8" t="s">
        <v>140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 ht="15" x14ac:dyDescent="0.25">
      <c r="A41" s="6">
        <v>40</v>
      </c>
      <c r="B41" s="7" t="s">
        <v>141</v>
      </c>
      <c r="C41" s="6" t="s">
        <v>13</v>
      </c>
      <c r="D41" s="8">
        <v>3</v>
      </c>
      <c r="E41" s="8" t="s">
        <v>16</v>
      </c>
      <c r="F41" s="8" t="s">
        <v>106</v>
      </c>
      <c r="G41" s="8" t="s">
        <v>90</v>
      </c>
      <c r="H41" s="8" t="s">
        <v>136</v>
      </c>
      <c r="I41" s="8" t="s">
        <v>139</v>
      </c>
      <c r="J41" s="8">
        <v>10000000</v>
      </c>
      <c r="K41" s="8">
        <v>1</v>
      </c>
      <c r="L41" s="8" t="s">
        <v>140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ht="15" x14ac:dyDescent="0.25">
      <c r="A42" s="6">
        <v>41</v>
      </c>
      <c r="B42" s="7" t="s">
        <v>142</v>
      </c>
      <c r="C42" s="6" t="s">
        <v>13</v>
      </c>
      <c r="D42" s="8">
        <v>5</v>
      </c>
      <c r="E42" s="8" t="s">
        <v>73</v>
      </c>
      <c r="F42" s="8" t="s">
        <v>74</v>
      </c>
      <c r="G42" s="8"/>
      <c r="H42" s="8"/>
      <c r="I42" s="8"/>
      <c r="J42" s="8"/>
      <c r="K42" s="8"/>
      <c r="L42" s="8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 ht="15" x14ac:dyDescent="0.25">
      <c r="A43" s="6">
        <v>42</v>
      </c>
      <c r="B43" s="7" t="s">
        <v>143</v>
      </c>
      <c r="C43" s="6" t="s">
        <v>144</v>
      </c>
      <c r="D43" s="8">
        <v>3</v>
      </c>
      <c r="E43" s="8" t="s">
        <v>73</v>
      </c>
      <c r="F43" s="8" t="s">
        <v>43</v>
      </c>
      <c r="G43" s="8" t="s">
        <v>18</v>
      </c>
      <c r="H43" s="8" t="s">
        <v>51</v>
      </c>
      <c r="I43" s="8" t="s">
        <v>139</v>
      </c>
      <c r="J43" s="8">
        <v>100000</v>
      </c>
      <c r="K43" s="8">
        <v>0</v>
      </c>
      <c r="L43" s="8" t="s">
        <v>145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ht="15" x14ac:dyDescent="0.25">
      <c r="A44" s="6">
        <v>43</v>
      </c>
      <c r="B44" s="7" t="s">
        <v>146</v>
      </c>
      <c r="C44" s="6"/>
      <c r="D44" s="8">
        <v>69</v>
      </c>
      <c r="E44" s="8" t="s">
        <v>73</v>
      </c>
      <c r="F44" s="8" t="s">
        <v>24</v>
      </c>
      <c r="G44" s="8" t="s">
        <v>147</v>
      </c>
      <c r="H44" s="8" t="s">
        <v>148</v>
      </c>
      <c r="I44" s="8"/>
      <c r="J44" s="8"/>
      <c r="K44" s="8"/>
      <c r="L44" s="8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 ht="15" x14ac:dyDescent="0.25">
      <c r="A45" s="1">
        <v>44</v>
      </c>
      <c r="B45" s="7" t="s">
        <v>149</v>
      </c>
      <c r="C45" s="6" t="s">
        <v>150</v>
      </c>
      <c r="D45" s="13">
        <v>6</v>
      </c>
      <c r="E45" s="8" t="s">
        <v>73</v>
      </c>
      <c r="F45" s="8" t="s">
        <v>89</v>
      </c>
      <c r="G45" s="8" t="s">
        <v>30</v>
      </c>
      <c r="H45" s="8" t="s">
        <v>51</v>
      </c>
      <c r="I45" s="8" t="s">
        <v>104</v>
      </c>
      <c r="J45" s="8" t="s">
        <v>151</v>
      </c>
      <c r="K45" s="8" t="s">
        <v>152</v>
      </c>
      <c r="L45" s="8" t="s">
        <v>63</v>
      </c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  <row r="46" spans="1:23" ht="15" x14ac:dyDescent="0.25">
      <c r="A46" s="6">
        <v>45</v>
      </c>
      <c r="B46" s="7" t="s">
        <v>153</v>
      </c>
      <c r="C46" s="6" t="s">
        <v>15</v>
      </c>
      <c r="D46" s="8">
        <v>3</v>
      </c>
      <c r="E46" s="8" t="s">
        <v>73</v>
      </c>
      <c r="F46" s="8" t="s">
        <v>43</v>
      </c>
      <c r="G46" s="8" t="s">
        <v>90</v>
      </c>
      <c r="H46" s="8" t="s">
        <v>51</v>
      </c>
      <c r="I46" s="8" t="s">
        <v>75</v>
      </c>
      <c r="J46" s="8">
        <v>100000</v>
      </c>
      <c r="K46" s="8">
        <v>2</v>
      </c>
      <c r="L46" s="8" t="s">
        <v>76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ht="15" x14ac:dyDescent="0.25">
      <c r="A47" s="15">
        <v>46</v>
      </c>
      <c r="B47" s="2" t="s">
        <v>154</v>
      </c>
      <c r="C47" s="15" t="s">
        <v>155</v>
      </c>
      <c r="D47" s="13">
        <v>5</v>
      </c>
      <c r="E47" s="16" t="s">
        <v>16</v>
      </c>
      <c r="F47" s="17"/>
      <c r="G47" s="17"/>
      <c r="H47" s="17"/>
      <c r="I47" s="17"/>
      <c r="J47" s="17"/>
      <c r="K47" s="17"/>
      <c r="L47" s="17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  <row r="48" spans="1:23" ht="15" x14ac:dyDescent="0.25">
      <c r="A48" s="6">
        <v>48</v>
      </c>
      <c r="B48" s="7" t="s">
        <v>156</v>
      </c>
      <c r="C48" s="6"/>
      <c r="D48" s="8"/>
      <c r="E48" s="8"/>
      <c r="F48" s="8"/>
      <c r="G48" s="8"/>
      <c r="H48" s="8"/>
      <c r="I48" s="8"/>
      <c r="J48" s="8"/>
      <c r="K48" s="8"/>
      <c r="L48" s="8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 ht="15" x14ac:dyDescent="0.25">
      <c r="A49" s="6">
        <v>49</v>
      </c>
      <c r="B49" s="7" t="s">
        <v>157</v>
      </c>
      <c r="C49" s="1" t="s">
        <v>158</v>
      </c>
      <c r="D49" s="8"/>
      <c r="E49" s="8" t="s">
        <v>159</v>
      </c>
      <c r="F49" s="8"/>
      <c r="G49" s="8"/>
      <c r="H49" s="8"/>
      <c r="I49" s="8"/>
      <c r="J49" s="8"/>
      <c r="K49" s="8"/>
      <c r="L49" s="8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 ht="15" x14ac:dyDescent="0.25">
      <c r="A50" s="6">
        <v>50</v>
      </c>
      <c r="B50" s="2" t="s">
        <v>160</v>
      </c>
      <c r="C50" s="6" t="s">
        <v>161</v>
      </c>
      <c r="D50" s="19">
        <v>3</v>
      </c>
      <c r="E50" s="19" t="s">
        <v>16</v>
      </c>
      <c r="F50" s="19" t="s">
        <v>118</v>
      </c>
      <c r="G50" s="19" t="s">
        <v>30</v>
      </c>
      <c r="H50" s="19" t="s">
        <v>51</v>
      </c>
      <c r="I50" s="19" t="s">
        <v>104</v>
      </c>
      <c r="J50" s="22">
        <v>200000</v>
      </c>
      <c r="K50" s="8">
        <v>0</v>
      </c>
      <c r="L50" s="8" t="s">
        <v>63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 ht="15" x14ac:dyDescent="0.25">
      <c r="A51" s="6">
        <v>51</v>
      </c>
      <c r="B51" s="2" t="s">
        <v>162</v>
      </c>
      <c r="C51" s="6" t="s">
        <v>163</v>
      </c>
      <c r="D51" s="8">
        <v>4</v>
      </c>
      <c r="E51" s="8" t="s">
        <v>16</v>
      </c>
      <c r="F51" s="8" t="s">
        <v>29</v>
      </c>
      <c r="G51" s="8" t="s">
        <v>30</v>
      </c>
      <c r="H51" s="8" t="s">
        <v>19</v>
      </c>
      <c r="I51" s="8" t="s">
        <v>104</v>
      </c>
      <c r="J51" s="22">
        <v>192000</v>
      </c>
      <c r="K51" s="8">
        <v>1</v>
      </c>
      <c r="L51" s="8" t="s">
        <v>63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 ht="15" x14ac:dyDescent="0.25">
      <c r="A52" s="6">
        <v>52</v>
      </c>
      <c r="B52" s="2" t="s">
        <v>164</v>
      </c>
      <c r="C52" s="6" t="s">
        <v>13</v>
      </c>
      <c r="D52" s="8">
        <v>5</v>
      </c>
      <c r="E52" s="8" t="s">
        <v>16</v>
      </c>
      <c r="F52" s="8" t="s">
        <v>74</v>
      </c>
      <c r="G52" s="8" t="s">
        <v>30</v>
      </c>
      <c r="H52" s="8" t="s">
        <v>165</v>
      </c>
      <c r="I52" s="8" t="s">
        <v>104</v>
      </c>
      <c r="J52" s="22">
        <v>200000</v>
      </c>
      <c r="K52" s="8">
        <v>0</v>
      </c>
      <c r="L52" s="8" t="s">
        <v>63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spans="1:23" ht="15" x14ac:dyDescent="0.25">
      <c r="A53" s="6">
        <v>53</v>
      </c>
      <c r="B53" s="7" t="s">
        <v>166</v>
      </c>
      <c r="C53" s="6"/>
      <c r="D53" s="8"/>
      <c r="E53" s="8"/>
      <c r="F53" s="8"/>
      <c r="G53" s="8"/>
      <c r="H53" s="8"/>
      <c r="I53" s="8"/>
      <c r="J53" s="8"/>
      <c r="K53" s="8"/>
      <c r="L53" s="8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spans="1:23" ht="15" x14ac:dyDescent="0.25">
      <c r="A54" s="6">
        <v>54</v>
      </c>
      <c r="B54" s="7" t="s">
        <v>167</v>
      </c>
      <c r="C54" s="6" t="s">
        <v>15</v>
      </c>
      <c r="D54" s="8">
        <v>3</v>
      </c>
      <c r="E54" s="8" t="s">
        <v>108</v>
      </c>
      <c r="F54" s="8"/>
      <c r="G54" s="8"/>
      <c r="H54" s="8"/>
      <c r="I54" s="8"/>
      <c r="J54" s="8"/>
      <c r="K54" s="8"/>
      <c r="L54" s="8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spans="1:23" ht="15" x14ac:dyDescent="0.25">
      <c r="A55" s="6">
        <v>55</v>
      </c>
      <c r="B55" s="7" t="s">
        <v>168</v>
      </c>
      <c r="C55" s="6"/>
      <c r="D55" s="8"/>
      <c r="E55" s="8"/>
      <c r="F55" s="8"/>
      <c r="G55" s="8"/>
      <c r="H55" s="8"/>
      <c r="I55" s="8"/>
      <c r="J55" s="8"/>
      <c r="K55" s="8"/>
      <c r="L55" s="8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1:23" ht="15" x14ac:dyDescent="0.25">
      <c r="A56" s="6">
        <v>56</v>
      </c>
      <c r="B56" s="7" t="s">
        <v>169</v>
      </c>
      <c r="C56" s="6" t="s">
        <v>65</v>
      </c>
      <c r="D56" s="8">
        <v>3</v>
      </c>
      <c r="E56" s="8" t="s">
        <v>16</v>
      </c>
      <c r="F56" s="8"/>
      <c r="G56" s="8"/>
      <c r="H56" s="8"/>
      <c r="I56" s="8"/>
      <c r="J56" s="8"/>
      <c r="K56" s="8"/>
      <c r="L56" s="8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spans="1:23" ht="15" x14ac:dyDescent="0.25">
      <c r="A57" s="6">
        <v>57</v>
      </c>
      <c r="B57" s="7" t="s">
        <v>170</v>
      </c>
      <c r="C57" s="6"/>
      <c r="D57" s="8"/>
      <c r="E57" s="8"/>
      <c r="F57" s="8"/>
      <c r="G57" s="8"/>
      <c r="H57" s="8"/>
      <c r="I57" s="8"/>
      <c r="J57" s="8"/>
      <c r="K57" s="8"/>
      <c r="L57" s="8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spans="1:23" ht="15" x14ac:dyDescent="0.25">
      <c r="A58" s="6">
        <v>58</v>
      </c>
      <c r="B58" s="7" t="s">
        <v>171</v>
      </c>
      <c r="C58" s="6" t="s">
        <v>172</v>
      </c>
      <c r="D58" s="8">
        <v>10</v>
      </c>
      <c r="E58" s="8" t="s">
        <v>108</v>
      </c>
      <c r="F58" s="8"/>
      <c r="G58" s="8"/>
      <c r="H58" s="8"/>
      <c r="I58" s="8"/>
      <c r="J58" s="8"/>
      <c r="K58" s="8"/>
      <c r="L58" s="8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spans="1:23" ht="15" x14ac:dyDescent="0.25">
      <c r="A59" s="6">
        <v>59</v>
      </c>
      <c r="B59" s="7" t="s">
        <v>173</v>
      </c>
      <c r="C59" s="6" t="s">
        <v>13</v>
      </c>
      <c r="D59" s="8">
        <v>3</v>
      </c>
      <c r="E59" s="8" t="s">
        <v>73</v>
      </c>
      <c r="F59" s="8" t="s">
        <v>43</v>
      </c>
      <c r="G59" s="8" t="s">
        <v>30</v>
      </c>
      <c r="H59" s="8" t="s">
        <v>51</v>
      </c>
      <c r="I59" s="8" t="s">
        <v>75</v>
      </c>
      <c r="J59" s="8">
        <v>101</v>
      </c>
      <c r="K59" s="8">
        <v>1</v>
      </c>
      <c r="L59" s="8" t="s">
        <v>76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spans="1:23" ht="15" x14ac:dyDescent="0.25">
      <c r="A60" s="6">
        <v>60</v>
      </c>
      <c r="B60" s="7" t="s">
        <v>174</v>
      </c>
      <c r="C60" s="6" t="s">
        <v>175</v>
      </c>
      <c r="D60" s="8">
        <v>5</v>
      </c>
      <c r="E60" s="8" t="s">
        <v>176</v>
      </c>
      <c r="F60" s="8"/>
      <c r="G60" s="8"/>
      <c r="H60" s="8"/>
      <c r="I60" s="8"/>
      <c r="J60" s="8"/>
      <c r="K60" s="8"/>
      <c r="L60" s="8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1:23" ht="12.75" x14ac:dyDescent="0.2">
      <c r="A61" s="5"/>
      <c r="B61" s="20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spans="1:23" ht="12.75" x14ac:dyDescent="0.2">
      <c r="A62" s="5"/>
      <c r="B62" s="20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spans="1:23" ht="12.75" x14ac:dyDescent="0.2">
      <c r="A63" s="5"/>
      <c r="B63" s="20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spans="1:23" ht="12.75" x14ac:dyDescent="0.2">
      <c r="A64" s="5"/>
      <c r="B64" s="20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spans="1:23" ht="12.75" x14ac:dyDescent="0.2">
      <c r="A65" s="5"/>
      <c r="B65" s="20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spans="1:23" ht="12.75" x14ac:dyDescent="0.2">
      <c r="A66" s="5"/>
      <c r="B66" s="20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spans="1:23" ht="12.75" x14ac:dyDescent="0.2">
      <c r="A67" s="5"/>
      <c r="B67" s="20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spans="1:23" ht="12.75" x14ac:dyDescent="0.2">
      <c r="A68" s="5"/>
      <c r="B68" s="20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spans="1:23" ht="12.75" x14ac:dyDescent="0.2">
      <c r="A69" s="5"/>
      <c r="B69" s="20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spans="1:23" ht="12.75" x14ac:dyDescent="0.2">
      <c r="A70" s="5"/>
      <c r="B70" s="20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spans="1:23" ht="12.75" x14ac:dyDescent="0.2">
      <c r="A71" s="5"/>
      <c r="B71" s="20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:23" ht="12.75" x14ac:dyDescent="0.2">
      <c r="A72" s="5"/>
      <c r="B72" s="20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spans="1:23" ht="12.75" x14ac:dyDescent="0.2">
      <c r="A73" s="5"/>
      <c r="B73" s="20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:23" ht="12.75" x14ac:dyDescent="0.2">
      <c r="A74" s="5"/>
      <c r="B74" s="20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spans="1:23" ht="12.75" x14ac:dyDescent="0.2">
      <c r="A75" s="5"/>
      <c r="B75" s="20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:23" ht="12.75" x14ac:dyDescent="0.2">
      <c r="A76" s="5"/>
      <c r="B76" s="20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:23" ht="12.75" x14ac:dyDescent="0.2">
      <c r="A77" s="5"/>
      <c r="B77" s="20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3" ht="12.75" x14ac:dyDescent="0.2">
      <c r="A78" s="5"/>
      <c r="B78" s="20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spans="1:23" ht="12.75" x14ac:dyDescent="0.2">
      <c r="A79" s="5"/>
      <c r="B79" s="20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spans="1:23" ht="12.75" x14ac:dyDescent="0.2">
      <c r="A80" s="5"/>
      <c r="B80" s="20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spans="1:23" ht="12.75" x14ac:dyDescent="0.2">
      <c r="A81" s="5"/>
      <c r="B81" s="20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spans="1:23" ht="12.75" x14ac:dyDescent="0.2">
      <c r="A82" s="5"/>
      <c r="B82" s="20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spans="1:23" ht="12.75" x14ac:dyDescent="0.2">
      <c r="A83" s="5"/>
      <c r="B83" s="20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spans="1:23" ht="12.75" x14ac:dyDescent="0.2">
      <c r="A84" s="5"/>
      <c r="B84" s="20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spans="1:23" ht="12.75" x14ac:dyDescent="0.2">
      <c r="A85" s="5"/>
      <c r="B85" s="20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spans="1:23" ht="12.75" x14ac:dyDescent="0.2">
      <c r="A86" s="5"/>
      <c r="B86" s="20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spans="1:23" ht="12.75" x14ac:dyDescent="0.2">
      <c r="A87" s="5"/>
      <c r="B87" s="20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spans="1:23" ht="12.75" x14ac:dyDescent="0.2">
      <c r="A88" s="5"/>
      <c r="B88" s="20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spans="1:23" ht="12.75" x14ac:dyDescent="0.2">
      <c r="A89" s="5"/>
      <c r="B89" s="20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spans="1:23" ht="12.75" x14ac:dyDescent="0.2">
      <c r="A90" s="5"/>
      <c r="B90" s="20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spans="1:23" ht="12.75" x14ac:dyDescent="0.2">
      <c r="A91" s="5"/>
      <c r="B91" s="20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spans="1:23" ht="12.75" x14ac:dyDescent="0.2">
      <c r="A92" s="5"/>
      <c r="B92" s="20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spans="1:23" ht="12.75" x14ac:dyDescent="0.2">
      <c r="A93" s="5"/>
      <c r="B93" s="20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spans="1:23" ht="12.75" x14ac:dyDescent="0.2">
      <c r="A94" s="5"/>
      <c r="B94" s="20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spans="1:23" ht="12.75" x14ac:dyDescent="0.2">
      <c r="A95" s="5"/>
      <c r="B95" s="20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spans="1:23" ht="12.75" x14ac:dyDescent="0.2">
      <c r="A96" s="5"/>
      <c r="B96" s="20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spans="1:23" ht="12.75" x14ac:dyDescent="0.2">
      <c r="A97" s="5"/>
      <c r="B97" s="20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spans="1:23" ht="12.75" x14ac:dyDescent="0.2">
      <c r="A98" s="5"/>
      <c r="B98" s="20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spans="1:23" ht="12.75" x14ac:dyDescent="0.2">
      <c r="A99" s="5"/>
      <c r="B99" s="20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spans="1:23" ht="12.75" x14ac:dyDescent="0.2">
      <c r="A100" s="5"/>
      <c r="B100" s="20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spans="1:23" ht="12.75" x14ac:dyDescent="0.2">
      <c r="A101" s="5"/>
      <c r="B101" s="20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spans="1:23" ht="12.75" x14ac:dyDescent="0.2">
      <c r="A102" s="5"/>
      <c r="B102" s="20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spans="1:23" ht="12.75" x14ac:dyDescent="0.2">
      <c r="A103" s="5"/>
      <c r="B103" s="20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spans="1:23" ht="12.75" x14ac:dyDescent="0.2">
      <c r="A104" s="5"/>
      <c r="B104" s="20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spans="1:23" ht="12.75" x14ac:dyDescent="0.2">
      <c r="A105" s="5"/>
      <c r="B105" s="20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spans="1:23" ht="12.75" x14ac:dyDescent="0.2">
      <c r="A106" s="5"/>
      <c r="B106" s="20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spans="1:23" ht="12.75" x14ac:dyDescent="0.2">
      <c r="A107" s="5"/>
      <c r="B107" s="20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spans="1:23" ht="12.75" x14ac:dyDescent="0.2">
      <c r="A108" s="5"/>
      <c r="B108" s="20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spans="1:23" ht="12.75" x14ac:dyDescent="0.2">
      <c r="A109" s="5"/>
      <c r="B109" s="20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spans="1:23" ht="12.75" x14ac:dyDescent="0.2">
      <c r="A110" s="5"/>
      <c r="B110" s="20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spans="1:23" ht="12.75" x14ac:dyDescent="0.2">
      <c r="A111" s="5"/>
      <c r="B111" s="20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spans="1:23" ht="12.75" x14ac:dyDescent="0.2">
      <c r="A112" s="5"/>
      <c r="B112" s="20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spans="1:23" ht="12.75" x14ac:dyDescent="0.2">
      <c r="A113" s="5"/>
      <c r="B113" s="20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spans="1:23" ht="12.75" x14ac:dyDescent="0.2">
      <c r="A114" s="5"/>
      <c r="B114" s="20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spans="1:23" ht="12.75" x14ac:dyDescent="0.2">
      <c r="A115" s="5"/>
      <c r="B115" s="20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spans="1:23" ht="12.75" x14ac:dyDescent="0.2">
      <c r="A116" s="5"/>
      <c r="B116" s="20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spans="1:23" ht="12.75" x14ac:dyDescent="0.2">
      <c r="A117" s="5"/>
      <c r="B117" s="20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spans="1:23" ht="12.75" x14ac:dyDescent="0.2">
      <c r="A118" s="5"/>
      <c r="B118" s="20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spans="1:23" ht="12.75" x14ac:dyDescent="0.2">
      <c r="A119" s="5"/>
      <c r="B119" s="20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spans="1:23" ht="12.75" x14ac:dyDescent="0.2">
      <c r="A120" s="5"/>
      <c r="B120" s="20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spans="1:23" ht="12.75" x14ac:dyDescent="0.2">
      <c r="A121" s="5"/>
      <c r="B121" s="20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spans="1:23" ht="12.75" x14ac:dyDescent="0.2">
      <c r="A122" s="5"/>
      <c r="B122" s="20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spans="1:23" ht="12.75" x14ac:dyDescent="0.2">
      <c r="A123" s="5"/>
      <c r="B123" s="20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spans="1:23" ht="12.75" x14ac:dyDescent="0.2">
      <c r="A124" s="5"/>
      <c r="B124" s="20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spans="1:23" ht="12.75" x14ac:dyDescent="0.2">
      <c r="A125" s="5"/>
      <c r="B125" s="20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spans="1:23" ht="12.75" x14ac:dyDescent="0.2">
      <c r="A126" s="5"/>
      <c r="B126" s="20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spans="1:23" ht="12.75" x14ac:dyDescent="0.2">
      <c r="A127" s="5"/>
      <c r="B127" s="20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spans="1:23" ht="12.75" x14ac:dyDescent="0.2">
      <c r="A128" s="5"/>
      <c r="B128" s="20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spans="1:23" ht="12.75" x14ac:dyDescent="0.2">
      <c r="A129" s="5"/>
      <c r="B129" s="20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spans="1:23" ht="12.75" x14ac:dyDescent="0.2">
      <c r="A130" s="5"/>
      <c r="B130" s="20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spans="1:23" ht="12.75" x14ac:dyDescent="0.2">
      <c r="A131" s="5"/>
      <c r="B131" s="20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spans="1:23" ht="12.75" x14ac:dyDescent="0.2">
      <c r="A132" s="5"/>
      <c r="B132" s="20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spans="1:23" ht="12.75" x14ac:dyDescent="0.2">
      <c r="A133" s="5"/>
      <c r="B133" s="20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spans="1:23" ht="12.75" x14ac:dyDescent="0.2">
      <c r="A134" s="5"/>
      <c r="B134" s="20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spans="1:23" ht="12.75" x14ac:dyDescent="0.2">
      <c r="A135" s="5"/>
      <c r="B135" s="20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spans="1:23" ht="12.75" x14ac:dyDescent="0.2">
      <c r="A136" s="5"/>
      <c r="B136" s="20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spans="1:23" ht="12.75" x14ac:dyDescent="0.2">
      <c r="A137" s="5"/>
      <c r="B137" s="20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spans="1:23" ht="12.75" x14ac:dyDescent="0.2">
      <c r="A138" s="5"/>
      <c r="B138" s="20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spans="1:23" ht="12.75" x14ac:dyDescent="0.2">
      <c r="A139" s="5"/>
      <c r="B139" s="20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spans="1:23" ht="12.75" x14ac:dyDescent="0.2">
      <c r="A140" s="5"/>
      <c r="B140" s="20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spans="1:23" ht="12.75" x14ac:dyDescent="0.2">
      <c r="A141" s="5"/>
      <c r="B141" s="20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spans="1:23" ht="12.75" x14ac:dyDescent="0.2">
      <c r="A142" s="5"/>
      <c r="B142" s="20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spans="1:23" ht="12.75" x14ac:dyDescent="0.2">
      <c r="A143" s="5"/>
      <c r="B143" s="20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spans="1:23" ht="12.75" x14ac:dyDescent="0.2">
      <c r="A144" s="5"/>
      <c r="B144" s="20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spans="1:23" ht="12.75" x14ac:dyDescent="0.2">
      <c r="A145" s="5"/>
      <c r="B145" s="20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spans="1:23" ht="12.75" x14ac:dyDescent="0.2">
      <c r="A146" s="5"/>
      <c r="B146" s="20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spans="1:23" ht="12.75" x14ac:dyDescent="0.2">
      <c r="A147" s="5"/>
      <c r="B147" s="20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spans="1:23" ht="12.75" x14ac:dyDescent="0.2">
      <c r="A148" s="5"/>
      <c r="B148" s="20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3" ht="12.75" x14ac:dyDescent="0.2">
      <c r="A149" s="5"/>
      <c r="B149" s="20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spans="1:23" ht="12.75" x14ac:dyDescent="0.2">
      <c r="A150" s="5"/>
      <c r="B150" s="20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spans="1:23" ht="12.75" x14ac:dyDescent="0.2">
      <c r="A151" s="5"/>
      <c r="B151" s="20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spans="1:23" ht="12.75" x14ac:dyDescent="0.2">
      <c r="A152" s="5"/>
      <c r="B152" s="20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spans="1:23" ht="12.75" x14ac:dyDescent="0.2">
      <c r="A153" s="5"/>
      <c r="B153" s="20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spans="1:23" ht="12.75" x14ac:dyDescent="0.2">
      <c r="A154" s="5"/>
      <c r="B154" s="20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spans="1:23" ht="12.75" x14ac:dyDescent="0.2">
      <c r="A155" s="5"/>
      <c r="B155" s="20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spans="1:23" ht="12.75" x14ac:dyDescent="0.2">
      <c r="A156" s="5"/>
      <c r="B156" s="20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spans="1:23" ht="12.75" x14ac:dyDescent="0.2">
      <c r="A157" s="5"/>
      <c r="B157" s="20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spans="1:23" ht="12.75" x14ac:dyDescent="0.2">
      <c r="A158" s="5"/>
      <c r="B158" s="20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spans="1:23" ht="12.75" x14ac:dyDescent="0.2">
      <c r="A159" s="5"/>
      <c r="B159" s="20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spans="1:23" ht="12.75" x14ac:dyDescent="0.2">
      <c r="A160" s="5"/>
      <c r="B160" s="20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spans="1:23" ht="12.75" x14ac:dyDescent="0.2">
      <c r="A161" s="5"/>
      <c r="B161" s="20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spans="1:23" ht="12.75" x14ac:dyDescent="0.2">
      <c r="A162" s="5"/>
      <c r="B162" s="20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spans="1:23" ht="12.75" x14ac:dyDescent="0.2">
      <c r="A163" s="5"/>
      <c r="B163" s="20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spans="1:23" ht="12.75" x14ac:dyDescent="0.2">
      <c r="A164" s="5"/>
      <c r="B164" s="20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spans="1:23" ht="12.75" x14ac:dyDescent="0.2">
      <c r="A165" s="5"/>
      <c r="B165" s="20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spans="1:23" ht="12.75" x14ac:dyDescent="0.2">
      <c r="A166" s="5"/>
      <c r="B166" s="20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spans="1:23" ht="12.75" x14ac:dyDescent="0.2">
      <c r="A167" s="5"/>
      <c r="B167" s="20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spans="1:23" ht="12.75" x14ac:dyDescent="0.2">
      <c r="A168" s="5"/>
      <c r="B168" s="20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spans="1:23" ht="12.75" x14ac:dyDescent="0.2">
      <c r="A169" s="5"/>
      <c r="B169" s="20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spans="1:23" ht="12.75" x14ac:dyDescent="0.2">
      <c r="A170" s="5"/>
      <c r="B170" s="20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spans="1:23" ht="12.75" x14ac:dyDescent="0.2">
      <c r="A171" s="5"/>
      <c r="B171" s="20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spans="1:23" ht="12.75" x14ac:dyDescent="0.2">
      <c r="A172" s="5"/>
      <c r="B172" s="20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spans="1:23" ht="12.75" x14ac:dyDescent="0.2">
      <c r="A173" s="5"/>
      <c r="B173" s="20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spans="1:23" ht="12.75" x14ac:dyDescent="0.2">
      <c r="A174" s="5"/>
      <c r="B174" s="20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spans="1:23" ht="12.75" x14ac:dyDescent="0.2">
      <c r="A175" s="5"/>
      <c r="B175" s="20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spans="1:23" ht="12.75" x14ac:dyDescent="0.2">
      <c r="A176" s="5"/>
      <c r="B176" s="20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spans="1:23" ht="12.75" x14ac:dyDescent="0.2">
      <c r="A177" s="5"/>
      <c r="B177" s="20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spans="1:23" ht="12.75" x14ac:dyDescent="0.2">
      <c r="A178" s="5"/>
      <c r="B178" s="20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spans="1:23" ht="12.75" x14ac:dyDescent="0.2">
      <c r="A179" s="5"/>
      <c r="B179" s="20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spans="1:23" ht="12.75" x14ac:dyDescent="0.2">
      <c r="A180" s="5"/>
      <c r="B180" s="20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spans="1:23" ht="12.75" x14ac:dyDescent="0.2">
      <c r="A181" s="5"/>
      <c r="B181" s="20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spans="1:23" ht="12.75" x14ac:dyDescent="0.2">
      <c r="A182" s="5"/>
      <c r="B182" s="20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spans="1:23" ht="12.75" x14ac:dyDescent="0.2">
      <c r="A183" s="5"/>
      <c r="B183" s="20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spans="1:23" ht="12.75" x14ac:dyDescent="0.2">
      <c r="A184" s="5"/>
      <c r="B184" s="20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spans="1:23" ht="12.75" x14ac:dyDescent="0.2">
      <c r="A185" s="5"/>
      <c r="B185" s="20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spans="1:23" ht="12.75" x14ac:dyDescent="0.2">
      <c r="A186" s="5"/>
      <c r="B186" s="20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spans="1:23" ht="12.75" x14ac:dyDescent="0.2">
      <c r="A187" s="5"/>
      <c r="B187" s="20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spans="1:23" ht="12.75" x14ac:dyDescent="0.2">
      <c r="A188" s="5"/>
      <c r="B188" s="20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spans="1:23" ht="12.75" x14ac:dyDescent="0.2">
      <c r="A189" s="5"/>
      <c r="B189" s="20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spans="1:23" ht="12.75" x14ac:dyDescent="0.2">
      <c r="A190" s="5"/>
      <c r="B190" s="20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spans="1:23" ht="12.75" x14ac:dyDescent="0.2">
      <c r="A191" s="5"/>
      <c r="B191" s="20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spans="1:23" ht="12.75" x14ac:dyDescent="0.2">
      <c r="A192" s="5"/>
      <c r="B192" s="20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spans="1:23" ht="12.75" x14ac:dyDescent="0.2">
      <c r="A193" s="5"/>
      <c r="B193" s="20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spans="1:23" ht="12.75" x14ac:dyDescent="0.2">
      <c r="A194" s="5"/>
      <c r="B194" s="20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spans="1:23" ht="12.75" x14ac:dyDescent="0.2">
      <c r="A195" s="5"/>
      <c r="B195" s="20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spans="1:23" ht="12.75" x14ac:dyDescent="0.2">
      <c r="A196" s="5"/>
      <c r="B196" s="20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spans="1:23" ht="12.75" x14ac:dyDescent="0.2">
      <c r="A197" s="5"/>
      <c r="B197" s="20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spans="1:23" ht="12.75" x14ac:dyDescent="0.2">
      <c r="A198" s="5"/>
      <c r="B198" s="20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spans="1:23" ht="12.75" x14ac:dyDescent="0.2">
      <c r="A199" s="5"/>
      <c r="B199" s="20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spans="1:23" ht="12.75" x14ac:dyDescent="0.2">
      <c r="A200" s="5"/>
      <c r="B200" s="20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spans="1:23" ht="12.75" x14ac:dyDescent="0.2">
      <c r="A201" s="5"/>
      <c r="B201" s="20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spans="1:23" ht="12.75" x14ac:dyDescent="0.2">
      <c r="A202" s="5"/>
      <c r="B202" s="20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spans="1:23" ht="12.75" x14ac:dyDescent="0.2">
      <c r="A203" s="5"/>
      <c r="B203" s="20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spans="1:23" ht="12.75" x14ac:dyDescent="0.2">
      <c r="A204" s="5"/>
      <c r="B204" s="20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spans="1:23" ht="12.75" x14ac:dyDescent="0.2">
      <c r="A205" s="5"/>
      <c r="B205" s="20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spans="1:23" ht="12.75" x14ac:dyDescent="0.2">
      <c r="A206" s="5"/>
      <c r="B206" s="20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spans="1:23" ht="12.75" x14ac:dyDescent="0.2">
      <c r="A207" s="5"/>
      <c r="B207" s="20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spans="1:23" ht="12.75" x14ac:dyDescent="0.2">
      <c r="A208" s="5"/>
      <c r="B208" s="20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spans="1:23" ht="12.75" x14ac:dyDescent="0.2">
      <c r="A209" s="5"/>
      <c r="B209" s="20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spans="1:23" ht="12.75" x14ac:dyDescent="0.2">
      <c r="A210" s="5"/>
      <c r="B210" s="20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spans="1:23" ht="12.75" x14ac:dyDescent="0.2">
      <c r="A211" s="5"/>
      <c r="B211" s="20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spans="1:23" ht="12.75" x14ac:dyDescent="0.2">
      <c r="A212" s="5"/>
      <c r="B212" s="20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spans="1:23" ht="12.75" x14ac:dyDescent="0.2">
      <c r="A213" s="5"/>
      <c r="B213" s="20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spans="1:23" ht="12.75" x14ac:dyDescent="0.2">
      <c r="A214" s="5"/>
      <c r="B214" s="20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spans="1:23" ht="12.75" x14ac:dyDescent="0.2">
      <c r="A215" s="5"/>
      <c r="B215" s="20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spans="1:23" ht="12.75" x14ac:dyDescent="0.2">
      <c r="A216" s="5"/>
      <c r="B216" s="20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spans="1:23" ht="12.75" x14ac:dyDescent="0.2">
      <c r="A217" s="5"/>
      <c r="B217" s="20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spans="1:23" ht="12.75" x14ac:dyDescent="0.2">
      <c r="A218" s="5"/>
      <c r="B218" s="20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spans="1:23" ht="12.75" x14ac:dyDescent="0.2">
      <c r="A219" s="5"/>
      <c r="B219" s="20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spans="1:23" ht="12.75" x14ac:dyDescent="0.2">
      <c r="A220" s="5"/>
      <c r="B220" s="20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spans="1:23" ht="12.75" x14ac:dyDescent="0.2">
      <c r="A221" s="5"/>
      <c r="B221" s="20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spans="1:23" ht="12.75" x14ac:dyDescent="0.2">
      <c r="A222" s="5"/>
      <c r="B222" s="20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spans="1:23" ht="12.75" x14ac:dyDescent="0.2">
      <c r="A223" s="5"/>
      <c r="B223" s="20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spans="1:23" ht="12.75" x14ac:dyDescent="0.2">
      <c r="A224" s="5"/>
      <c r="B224" s="20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spans="1:23" ht="12.75" x14ac:dyDescent="0.2">
      <c r="A225" s="5"/>
      <c r="B225" s="20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spans="1:23" ht="12.75" x14ac:dyDescent="0.2">
      <c r="A226" s="5"/>
      <c r="B226" s="20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spans="1:23" ht="12.75" x14ac:dyDescent="0.2">
      <c r="A227" s="5"/>
      <c r="B227" s="20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spans="1:23" ht="12.75" x14ac:dyDescent="0.2">
      <c r="A228" s="5"/>
      <c r="B228" s="20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spans="1:23" ht="12.75" x14ac:dyDescent="0.2">
      <c r="A229" s="5"/>
      <c r="B229" s="20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spans="1:23" ht="12.75" x14ac:dyDescent="0.2">
      <c r="A230" s="5"/>
      <c r="B230" s="20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spans="1:23" ht="12.75" x14ac:dyDescent="0.2">
      <c r="A231" s="5"/>
      <c r="B231" s="20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spans="1:23" ht="12.75" x14ac:dyDescent="0.2">
      <c r="A232" s="5"/>
      <c r="B232" s="20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spans="1:23" ht="12.75" x14ac:dyDescent="0.2">
      <c r="A233" s="5"/>
      <c r="B233" s="20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spans="1:23" ht="12.75" x14ac:dyDescent="0.2">
      <c r="A234" s="5"/>
      <c r="B234" s="20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spans="1:23" ht="12.75" x14ac:dyDescent="0.2">
      <c r="A235" s="5"/>
      <c r="B235" s="20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spans="1:23" ht="12.75" x14ac:dyDescent="0.2">
      <c r="A236" s="5"/>
      <c r="B236" s="20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spans="1:23" ht="12.75" x14ac:dyDescent="0.2">
      <c r="A237" s="5"/>
      <c r="B237" s="20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spans="1:23" ht="12.75" x14ac:dyDescent="0.2">
      <c r="A238" s="5"/>
      <c r="B238" s="20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spans="1:23" ht="12.75" x14ac:dyDescent="0.2">
      <c r="A239" s="5"/>
      <c r="B239" s="20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spans="1:23" ht="12.75" x14ac:dyDescent="0.2">
      <c r="A240" s="5"/>
      <c r="B240" s="20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spans="1:23" ht="12.75" x14ac:dyDescent="0.2">
      <c r="A241" s="5"/>
      <c r="B241" s="20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spans="1:23" ht="12.75" x14ac:dyDescent="0.2">
      <c r="A242" s="5"/>
      <c r="B242" s="20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spans="1:23" ht="12.75" x14ac:dyDescent="0.2">
      <c r="A243" s="5"/>
      <c r="B243" s="20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spans="1:23" ht="12.75" x14ac:dyDescent="0.2">
      <c r="A244" s="5"/>
      <c r="B244" s="20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spans="1:23" ht="12.75" x14ac:dyDescent="0.2">
      <c r="A245" s="5"/>
      <c r="B245" s="20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spans="1:23" ht="12.75" x14ac:dyDescent="0.2">
      <c r="A246" s="5"/>
      <c r="B246" s="20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spans="1:23" ht="12.75" x14ac:dyDescent="0.2">
      <c r="A247" s="5"/>
      <c r="B247" s="20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spans="1:23" ht="12.75" x14ac:dyDescent="0.2">
      <c r="A248" s="5"/>
      <c r="B248" s="20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spans="1:23" ht="12.75" x14ac:dyDescent="0.2">
      <c r="A249" s="5"/>
      <c r="B249" s="20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spans="1:23" ht="12.75" x14ac:dyDescent="0.2">
      <c r="A250" s="5"/>
      <c r="B250" s="20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spans="1:23" ht="12.75" x14ac:dyDescent="0.2">
      <c r="A251" s="5"/>
      <c r="B251" s="20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spans="1:23" ht="12.75" x14ac:dyDescent="0.2">
      <c r="A252" s="5"/>
      <c r="B252" s="20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spans="1:23" ht="12.75" x14ac:dyDescent="0.2">
      <c r="A253" s="5"/>
      <c r="B253" s="20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spans="1:23" ht="12.75" x14ac:dyDescent="0.2">
      <c r="A254" s="5"/>
      <c r="B254" s="20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spans="1:23" ht="12.75" x14ac:dyDescent="0.2">
      <c r="A255" s="5"/>
      <c r="B255" s="20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spans="1:23" ht="12.75" x14ac:dyDescent="0.2">
      <c r="A256" s="5"/>
      <c r="B256" s="20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spans="1:23" ht="12.75" x14ac:dyDescent="0.2">
      <c r="A257" s="5"/>
      <c r="B257" s="20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spans="1:23" ht="12.75" x14ac:dyDescent="0.2">
      <c r="A258" s="5"/>
      <c r="B258" s="20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spans="1:23" ht="12.75" x14ac:dyDescent="0.2">
      <c r="A259" s="5"/>
      <c r="B259" s="20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spans="1:23" ht="12.75" x14ac:dyDescent="0.2">
      <c r="A260" s="5"/>
      <c r="B260" s="20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spans="1:23" ht="12.75" x14ac:dyDescent="0.2">
      <c r="A261" s="5"/>
      <c r="B261" s="20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spans="1:23" ht="12.75" x14ac:dyDescent="0.2">
      <c r="A262" s="5"/>
      <c r="B262" s="20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spans="1:23" ht="12.75" x14ac:dyDescent="0.2">
      <c r="A263" s="5"/>
      <c r="B263" s="20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spans="1:23" ht="12.75" x14ac:dyDescent="0.2">
      <c r="A264" s="5"/>
      <c r="B264" s="20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spans="1:23" ht="12.75" x14ac:dyDescent="0.2">
      <c r="A265" s="5"/>
      <c r="B265" s="20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spans="1:23" ht="12.75" x14ac:dyDescent="0.2">
      <c r="A266" s="5"/>
      <c r="B266" s="20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spans="1:23" ht="12.75" x14ac:dyDescent="0.2">
      <c r="A267" s="5"/>
      <c r="B267" s="20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spans="1:23" ht="12.75" x14ac:dyDescent="0.2">
      <c r="A268" s="5"/>
      <c r="B268" s="20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spans="1:23" ht="12.75" x14ac:dyDescent="0.2">
      <c r="A269" s="5"/>
      <c r="B269" s="20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spans="1:23" ht="12.75" x14ac:dyDescent="0.2">
      <c r="A270" s="5"/>
      <c r="B270" s="20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spans="1:23" ht="12.75" x14ac:dyDescent="0.2">
      <c r="A271" s="5"/>
      <c r="B271" s="20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spans="1:23" ht="12.75" x14ac:dyDescent="0.2">
      <c r="A272" s="5"/>
      <c r="B272" s="20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spans="1:23" ht="12.75" x14ac:dyDescent="0.2">
      <c r="A273" s="5"/>
      <c r="B273" s="20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spans="1:23" ht="12.75" x14ac:dyDescent="0.2">
      <c r="A274" s="5"/>
      <c r="B274" s="20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spans="1:23" ht="12.75" x14ac:dyDescent="0.2">
      <c r="A275" s="5"/>
      <c r="B275" s="20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spans="1:23" ht="12.75" x14ac:dyDescent="0.2">
      <c r="A276" s="5"/>
      <c r="B276" s="20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spans="1:23" ht="12.75" x14ac:dyDescent="0.2">
      <c r="A277" s="5"/>
      <c r="B277" s="20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spans="1:23" ht="12.75" x14ac:dyDescent="0.2">
      <c r="A278" s="5"/>
      <c r="B278" s="20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spans="1:23" ht="12.75" x14ac:dyDescent="0.2">
      <c r="A279" s="5"/>
      <c r="B279" s="20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spans="1:23" ht="12.75" x14ac:dyDescent="0.2">
      <c r="A280" s="5"/>
      <c r="B280" s="20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spans="1:23" ht="12.75" x14ac:dyDescent="0.2">
      <c r="A281" s="5"/>
      <c r="B281" s="20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spans="1:23" ht="12.75" x14ac:dyDescent="0.2">
      <c r="A282" s="5"/>
      <c r="B282" s="20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spans="1:23" ht="12.75" x14ac:dyDescent="0.2">
      <c r="A283" s="5"/>
      <c r="B283" s="20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spans="1:23" ht="12.75" x14ac:dyDescent="0.2">
      <c r="A284" s="5"/>
      <c r="B284" s="20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spans="1:23" ht="12.75" x14ac:dyDescent="0.2">
      <c r="A285" s="5"/>
      <c r="B285" s="20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spans="1:23" ht="12.75" x14ac:dyDescent="0.2">
      <c r="A286" s="5"/>
      <c r="B286" s="20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spans="1:23" ht="12.75" x14ac:dyDescent="0.2">
      <c r="A287" s="5"/>
      <c r="B287" s="20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spans="1:23" ht="12.75" x14ac:dyDescent="0.2">
      <c r="A288" s="5"/>
      <c r="B288" s="20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spans="1:23" ht="12.75" x14ac:dyDescent="0.2">
      <c r="A289" s="5"/>
      <c r="B289" s="20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spans="1:23" ht="12.75" x14ac:dyDescent="0.2">
      <c r="A290" s="5"/>
      <c r="B290" s="20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spans="1:23" ht="12.75" x14ac:dyDescent="0.2">
      <c r="A291" s="5"/>
      <c r="B291" s="20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spans="1:23" ht="12.75" x14ac:dyDescent="0.2">
      <c r="A292" s="5"/>
      <c r="B292" s="20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spans="1:23" ht="12.75" x14ac:dyDescent="0.2">
      <c r="A293" s="5"/>
      <c r="B293" s="20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spans="1:23" ht="12.75" x14ac:dyDescent="0.2">
      <c r="A294" s="5"/>
      <c r="B294" s="20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spans="1:23" ht="12.75" x14ac:dyDescent="0.2">
      <c r="A295" s="5"/>
      <c r="B295" s="20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spans="1:23" ht="12.75" x14ac:dyDescent="0.2">
      <c r="A296" s="5"/>
      <c r="B296" s="20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spans="1:23" ht="12.75" x14ac:dyDescent="0.2">
      <c r="A297" s="5"/>
      <c r="B297" s="20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spans="1:23" ht="12.75" x14ac:dyDescent="0.2">
      <c r="A298" s="5"/>
      <c r="B298" s="20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spans="1:23" ht="12.75" x14ac:dyDescent="0.2">
      <c r="A299" s="5"/>
      <c r="B299" s="20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spans="1:23" ht="12.75" x14ac:dyDescent="0.2">
      <c r="A300" s="5"/>
      <c r="B300" s="20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spans="1:23" ht="12.75" x14ac:dyDescent="0.2">
      <c r="A301" s="5"/>
      <c r="B301" s="20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spans="1:23" ht="12.75" x14ac:dyDescent="0.2">
      <c r="A302" s="5"/>
      <c r="B302" s="20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spans="1:23" ht="12.75" x14ac:dyDescent="0.2">
      <c r="A303" s="5"/>
      <c r="B303" s="20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spans="1:23" ht="12.75" x14ac:dyDescent="0.2">
      <c r="A304" s="5"/>
      <c r="B304" s="20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spans="1:23" ht="12.75" x14ac:dyDescent="0.2">
      <c r="A305" s="5"/>
      <c r="B305" s="20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spans="1:23" ht="12.75" x14ac:dyDescent="0.2">
      <c r="A306" s="5"/>
      <c r="B306" s="20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spans="1:23" ht="12.75" x14ac:dyDescent="0.2">
      <c r="A307" s="5"/>
      <c r="B307" s="20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spans="1:23" ht="12.75" x14ac:dyDescent="0.2">
      <c r="A308" s="5"/>
      <c r="B308" s="20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spans="1:23" ht="12.75" x14ac:dyDescent="0.2">
      <c r="A309" s="5"/>
      <c r="B309" s="20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spans="1:23" ht="12.75" x14ac:dyDescent="0.2">
      <c r="A310" s="5"/>
      <c r="B310" s="20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spans="1:23" ht="12.75" x14ac:dyDescent="0.2">
      <c r="A311" s="5"/>
      <c r="B311" s="20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spans="1:23" ht="12.75" x14ac:dyDescent="0.2">
      <c r="A312" s="5"/>
      <c r="B312" s="20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spans="1:23" ht="12.75" x14ac:dyDescent="0.2">
      <c r="A313" s="5"/>
      <c r="B313" s="20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spans="1:23" ht="12.75" x14ac:dyDescent="0.2">
      <c r="A314" s="5"/>
      <c r="B314" s="20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spans="1:23" ht="12.75" x14ac:dyDescent="0.2">
      <c r="A315" s="5"/>
      <c r="B315" s="20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spans="1:23" ht="12.75" x14ac:dyDescent="0.2">
      <c r="A316" s="5"/>
      <c r="B316" s="20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spans="1:23" ht="12.75" x14ac:dyDescent="0.2">
      <c r="A317" s="5"/>
      <c r="B317" s="20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spans="1:23" ht="12.75" x14ac:dyDescent="0.2">
      <c r="A318" s="5"/>
      <c r="B318" s="20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spans="1:23" ht="12.75" x14ac:dyDescent="0.2">
      <c r="A319" s="5"/>
      <c r="B319" s="20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spans="1:23" ht="12.75" x14ac:dyDescent="0.2">
      <c r="A320" s="5"/>
      <c r="B320" s="20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spans="1:23" ht="12.75" x14ac:dyDescent="0.2">
      <c r="A321" s="5"/>
      <c r="B321" s="20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spans="1:23" ht="12.75" x14ac:dyDescent="0.2">
      <c r="A322" s="5"/>
      <c r="B322" s="20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spans="1:23" ht="12.75" x14ac:dyDescent="0.2">
      <c r="A323" s="5"/>
      <c r="B323" s="20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spans="1:23" ht="12.75" x14ac:dyDescent="0.2">
      <c r="A324" s="5"/>
      <c r="B324" s="20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spans="1:23" ht="12.75" x14ac:dyDescent="0.2">
      <c r="A325" s="5"/>
      <c r="B325" s="20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spans="1:23" ht="12.75" x14ac:dyDescent="0.2">
      <c r="A326" s="5"/>
      <c r="B326" s="20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spans="1:23" ht="12.75" x14ac:dyDescent="0.2">
      <c r="A327" s="5"/>
      <c r="B327" s="20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spans="1:23" ht="12.75" x14ac:dyDescent="0.2">
      <c r="A328" s="5"/>
      <c r="B328" s="20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spans="1:23" ht="12.75" x14ac:dyDescent="0.2">
      <c r="A329" s="5"/>
      <c r="B329" s="20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spans="1:23" ht="12.75" x14ac:dyDescent="0.2">
      <c r="A330" s="5"/>
      <c r="B330" s="20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spans="1:23" ht="12.75" x14ac:dyDescent="0.2">
      <c r="A331" s="5"/>
      <c r="B331" s="20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spans="1:23" ht="12.75" x14ac:dyDescent="0.2">
      <c r="A332" s="5"/>
      <c r="B332" s="20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spans="1:23" ht="12.75" x14ac:dyDescent="0.2">
      <c r="A333" s="5"/>
      <c r="B333" s="20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spans="1:23" ht="12.75" x14ac:dyDescent="0.2">
      <c r="A334" s="5"/>
      <c r="B334" s="20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spans="1:23" ht="12.75" x14ac:dyDescent="0.2">
      <c r="A335" s="5"/>
      <c r="B335" s="20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spans="1:23" ht="12.75" x14ac:dyDescent="0.2">
      <c r="A336" s="5"/>
      <c r="B336" s="20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spans="1:23" ht="12.75" x14ac:dyDescent="0.2">
      <c r="A337" s="5"/>
      <c r="B337" s="20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spans="1:23" ht="12.75" x14ac:dyDescent="0.2">
      <c r="A338" s="5"/>
      <c r="B338" s="20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spans="1:23" ht="12.75" x14ac:dyDescent="0.2">
      <c r="A339" s="5"/>
      <c r="B339" s="20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spans="1:23" ht="12.75" x14ac:dyDescent="0.2">
      <c r="A340" s="5"/>
      <c r="B340" s="20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spans="1:23" ht="12.75" x14ac:dyDescent="0.2">
      <c r="A341" s="5"/>
      <c r="B341" s="20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spans="1:23" ht="12.75" x14ac:dyDescent="0.2">
      <c r="A342" s="5"/>
      <c r="B342" s="20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spans="1:23" ht="12.75" x14ac:dyDescent="0.2">
      <c r="A343" s="5"/>
      <c r="B343" s="20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spans="1:23" ht="12.75" x14ac:dyDescent="0.2">
      <c r="A344" s="5"/>
      <c r="B344" s="20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spans="1:23" ht="12.75" x14ac:dyDescent="0.2">
      <c r="A345" s="5"/>
      <c r="B345" s="20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spans="1:23" ht="12.75" x14ac:dyDescent="0.2">
      <c r="A346" s="5"/>
      <c r="B346" s="20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spans="1:23" ht="12.75" x14ac:dyDescent="0.2">
      <c r="A347" s="5"/>
      <c r="B347" s="20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spans="1:23" ht="12.75" x14ac:dyDescent="0.2">
      <c r="A348" s="5"/>
      <c r="B348" s="20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spans="1:23" ht="12.75" x14ac:dyDescent="0.2">
      <c r="A349" s="5"/>
      <c r="B349" s="20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spans="1:23" ht="12.75" x14ac:dyDescent="0.2">
      <c r="A350" s="5"/>
      <c r="B350" s="20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spans="1:23" ht="12.75" x14ac:dyDescent="0.2">
      <c r="A351" s="5"/>
      <c r="B351" s="20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spans="1:23" ht="12.75" x14ac:dyDescent="0.2">
      <c r="A352" s="5"/>
      <c r="B352" s="20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spans="1:23" ht="12.75" x14ac:dyDescent="0.2">
      <c r="A353" s="5"/>
      <c r="B353" s="20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spans="1:23" ht="12.75" x14ac:dyDescent="0.2">
      <c r="A354" s="5"/>
      <c r="B354" s="20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spans="1:23" ht="12.75" x14ac:dyDescent="0.2">
      <c r="A355" s="5"/>
      <c r="B355" s="20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spans="1:23" ht="12.75" x14ac:dyDescent="0.2">
      <c r="A356" s="5"/>
      <c r="B356" s="20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spans="1:23" ht="12.75" x14ac:dyDescent="0.2">
      <c r="A357" s="5"/>
      <c r="B357" s="20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spans="1:23" ht="12.75" x14ac:dyDescent="0.2">
      <c r="A358" s="5"/>
      <c r="B358" s="20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spans="1:23" ht="12.75" x14ac:dyDescent="0.2">
      <c r="A359" s="5"/>
      <c r="B359" s="20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spans="1:23" ht="12.75" x14ac:dyDescent="0.2">
      <c r="A360" s="5"/>
      <c r="B360" s="20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spans="1:23" ht="12.75" x14ac:dyDescent="0.2">
      <c r="A361" s="5"/>
      <c r="B361" s="20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spans="1:23" ht="12.75" x14ac:dyDescent="0.2">
      <c r="A362" s="5"/>
      <c r="B362" s="20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spans="1:23" ht="12.75" x14ac:dyDescent="0.2">
      <c r="A363" s="5"/>
      <c r="B363" s="20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spans="1:23" ht="12.75" x14ac:dyDescent="0.2">
      <c r="A364" s="5"/>
      <c r="B364" s="20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spans="1:23" ht="12.75" x14ac:dyDescent="0.2">
      <c r="A365" s="5"/>
      <c r="B365" s="20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spans="1:23" ht="12.75" x14ac:dyDescent="0.2">
      <c r="A366" s="5"/>
      <c r="B366" s="20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spans="1:23" ht="12.75" x14ac:dyDescent="0.2">
      <c r="A367" s="5"/>
      <c r="B367" s="20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spans="1:23" ht="12.75" x14ac:dyDescent="0.2">
      <c r="A368" s="5"/>
      <c r="B368" s="20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spans="1:23" ht="12.75" x14ac:dyDescent="0.2">
      <c r="A369" s="5"/>
      <c r="B369" s="20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spans="1:23" ht="12.75" x14ac:dyDescent="0.2">
      <c r="A370" s="5"/>
      <c r="B370" s="20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spans="1:23" ht="12.75" x14ac:dyDescent="0.2">
      <c r="A371" s="5"/>
      <c r="B371" s="20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spans="1:23" ht="12.75" x14ac:dyDescent="0.2">
      <c r="A372" s="5"/>
      <c r="B372" s="20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spans="1:23" ht="12.75" x14ac:dyDescent="0.2">
      <c r="A373" s="5"/>
      <c r="B373" s="20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spans="1:23" ht="12.75" x14ac:dyDescent="0.2">
      <c r="A374" s="5"/>
      <c r="B374" s="20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spans="1:23" ht="12.75" x14ac:dyDescent="0.2">
      <c r="A375" s="5"/>
      <c r="B375" s="20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spans="1:23" ht="12.75" x14ac:dyDescent="0.2">
      <c r="A376" s="5"/>
      <c r="B376" s="20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spans="1:23" ht="12.75" x14ac:dyDescent="0.2">
      <c r="A377" s="5"/>
      <c r="B377" s="20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spans="1:23" ht="12.75" x14ac:dyDescent="0.2">
      <c r="A378" s="5"/>
      <c r="B378" s="20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spans="1:23" ht="12.75" x14ac:dyDescent="0.2">
      <c r="A379" s="5"/>
      <c r="B379" s="20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spans="1:23" ht="12.75" x14ac:dyDescent="0.2">
      <c r="A380" s="5"/>
      <c r="B380" s="20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spans="1:23" ht="12.75" x14ac:dyDescent="0.2">
      <c r="A381" s="5"/>
      <c r="B381" s="20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spans="1:23" ht="12.75" x14ac:dyDescent="0.2">
      <c r="A382" s="5"/>
      <c r="B382" s="20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spans="1:23" ht="12.75" x14ac:dyDescent="0.2">
      <c r="A383" s="5"/>
      <c r="B383" s="20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spans="1:23" ht="12.75" x14ac:dyDescent="0.2">
      <c r="A384" s="5"/>
      <c r="B384" s="20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spans="1:23" ht="12.75" x14ac:dyDescent="0.2">
      <c r="A385" s="5"/>
      <c r="B385" s="20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spans="1:23" ht="12.75" x14ac:dyDescent="0.2">
      <c r="A386" s="5"/>
      <c r="B386" s="20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spans="1:23" ht="12.75" x14ac:dyDescent="0.2">
      <c r="A387" s="5"/>
      <c r="B387" s="20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spans="1:23" ht="12.75" x14ac:dyDescent="0.2">
      <c r="A388" s="5"/>
      <c r="B388" s="20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spans="1:23" ht="12.75" x14ac:dyDescent="0.2">
      <c r="A389" s="5"/>
      <c r="B389" s="20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spans="1:23" ht="12.75" x14ac:dyDescent="0.2">
      <c r="A390" s="5"/>
      <c r="B390" s="20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spans="1:23" ht="12.75" x14ac:dyDescent="0.2">
      <c r="A391" s="5"/>
      <c r="B391" s="20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 spans="1:23" ht="12.75" x14ac:dyDescent="0.2">
      <c r="A392" s="5"/>
      <c r="B392" s="20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 spans="1:23" ht="12.75" x14ac:dyDescent="0.2">
      <c r="A393" s="5"/>
      <c r="B393" s="20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spans="1:23" ht="12.75" x14ac:dyDescent="0.2">
      <c r="A394" s="5"/>
      <c r="B394" s="20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 spans="1:23" ht="12.75" x14ac:dyDescent="0.2">
      <c r="A395" s="5"/>
      <c r="B395" s="20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 spans="1:23" ht="12.75" x14ac:dyDescent="0.2">
      <c r="A396" s="5"/>
      <c r="B396" s="20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spans="1:23" ht="12.75" x14ac:dyDescent="0.2">
      <c r="A397" s="5"/>
      <c r="B397" s="20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spans="1:23" ht="12.75" x14ac:dyDescent="0.2">
      <c r="A398" s="5"/>
      <c r="B398" s="20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spans="1:23" ht="12.75" x14ac:dyDescent="0.2">
      <c r="A399" s="5"/>
      <c r="B399" s="20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spans="1:23" ht="12.75" x14ac:dyDescent="0.2">
      <c r="A400" s="5"/>
      <c r="B400" s="20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spans="1:23" ht="12.75" x14ac:dyDescent="0.2">
      <c r="A401" s="5"/>
      <c r="B401" s="20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spans="1:23" ht="12.75" x14ac:dyDescent="0.2">
      <c r="A402" s="5"/>
      <c r="B402" s="20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spans="1:23" ht="12.75" x14ac:dyDescent="0.2">
      <c r="A403" s="5"/>
      <c r="B403" s="20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spans="1:23" ht="12.75" x14ac:dyDescent="0.2">
      <c r="A404" s="5"/>
      <c r="B404" s="20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spans="1:23" ht="12.75" x14ac:dyDescent="0.2">
      <c r="A405" s="5"/>
      <c r="B405" s="20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spans="1:23" ht="12.75" x14ac:dyDescent="0.2">
      <c r="A406" s="5"/>
      <c r="B406" s="20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spans="1:23" ht="12.75" x14ac:dyDescent="0.2">
      <c r="A407" s="5"/>
      <c r="B407" s="20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spans="1:23" ht="12.75" x14ac:dyDescent="0.2">
      <c r="A408" s="5"/>
      <c r="B408" s="20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spans="1:23" ht="12.75" x14ac:dyDescent="0.2">
      <c r="A409" s="5"/>
      <c r="B409" s="20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spans="1:23" ht="12.75" x14ac:dyDescent="0.2">
      <c r="A410" s="5"/>
      <c r="B410" s="20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spans="1:23" ht="12.75" x14ac:dyDescent="0.2">
      <c r="A411" s="5"/>
      <c r="B411" s="20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spans="1:23" ht="12.75" x14ac:dyDescent="0.2">
      <c r="A412" s="5"/>
      <c r="B412" s="20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spans="1:23" ht="12.75" x14ac:dyDescent="0.2">
      <c r="A413" s="5"/>
      <c r="B413" s="20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spans="1:23" ht="12.75" x14ac:dyDescent="0.2">
      <c r="A414" s="5"/>
      <c r="B414" s="20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spans="1:23" ht="12.75" x14ac:dyDescent="0.2">
      <c r="A415" s="5"/>
      <c r="B415" s="20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spans="1:23" ht="12.75" x14ac:dyDescent="0.2">
      <c r="A416" s="5"/>
      <c r="B416" s="20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spans="1:23" ht="12.75" x14ac:dyDescent="0.2">
      <c r="A417" s="5"/>
      <c r="B417" s="20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spans="1:23" ht="12.75" x14ac:dyDescent="0.2">
      <c r="A418" s="5"/>
      <c r="B418" s="20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spans="1:23" ht="12.75" x14ac:dyDescent="0.2">
      <c r="A419" s="5"/>
      <c r="B419" s="20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spans="1:23" ht="12.75" x14ac:dyDescent="0.2">
      <c r="A420" s="5"/>
      <c r="B420" s="20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spans="1:23" ht="12.75" x14ac:dyDescent="0.2">
      <c r="A421" s="5"/>
      <c r="B421" s="20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spans="1:23" ht="12.75" x14ac:dyDescent="0.2">
      <c r="A422" s="5"/>
      <c r="B422" s="20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spans="1:23" ht="12.75" x14ac:dyDescent="0.2">
      <c r="A423" s="5"/>
      <c r="B423" s="20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spans="1:23" ht="12.75" x14ac:dyDescent="0.2">
      <c r="A424" s="5"/>
      <c r="B424" s="20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spans="1:23" ht="12.75" x14ac:dyDescent="0.2">
      <c r="A425" s="5"/>
      <c r="B425" s="20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spans="1:23" ht="12.75" x14ac:dyDescent="0.2">
      <c r="A426" s="5"/>
      <c r="B426" s="20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spans="1:23" ht="12.75" x14ac:dyDescent="0.2">
      <c r="A427" s="5"/>
      <c r="B427" s="20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spans="1:23" ht="12.75" x14ac:dyDescent="0.2">
      <c r="A428" s="5"/>
      <c r="B428" s="20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 spans="1:23" ht="12.75" x14ac:dyDescent="0.2">
      <c r="A429" s="5"/>
      <c r="B429" s="20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spans="1:23" ht="12.75" x14ac:dyDescent="0.2">
      <c r="A430" s="5"/>
      <c r="B430" s="20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spans="1:23" ht="12.75" x14ac:dyDescent="0.2">
      <c r="A431" s="5"/>
      <c r="B431" s="20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spans="1:23" ht="12.75" x14ac:dyDescent="0.2">
      <c r="A432" s="5"/>
      <c r="B432" s="20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spans="1:23" ht="12.75" x14ac:dyDescent="0.2">
      <c r="A433" s="5"/>
      <c r="B433" s="20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 spans="1:23" ht="12.75" x14ac:dyDescent="0.2">
      <c r="A434" s="5"/>
      <c r="B434" s="20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spans="1:23" ht="12.75" x14ac:dyDescent="0.2">
      <c r="A435" s="5"/>
      <c r="B435" s="20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spans="1:23" ht="12.75" x14ac:dyDescent="0.2">
      <c r="A436" s="5"/>
      <c r="B436" s="20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spans="1:23" ht="12.75" x14ac:dyDescent="0.2">
      <c r="A437" s="5"/>
      <c r="B437" s="20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spans="1:23" ht="12.75" x14ac:dyDescent="0.2">
      <c r="A438" s="5"/>
      <c r="B438" s="20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spans="1:23" ht="12.75" x14ac:dyDescent="0.2">
      <c r="A439" s="5"/>
      <c r="B439" s="20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 spans="1:23" ht="12.75" x14ac:dyDescent="0.2">
      <c r="A440" s="5"/>
      <c r="B440" s="20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spans="1:23" ht="12.75" x14ac:dyDescent="0.2">
      <c r="A441" s="5"/>
      <c r="B441" s="20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spans="1:23" ht="12.75" x14ac:dyDescent="0.2">
      <c r="A442" s="5"/>
      <c r="B442" s="20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spans="1:23" ht="12.75" x14ac:dyDescent="0.2">
      <c r="A443" s="5"/>
      <c r="B443" s="20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spans="1:23" ht="12.75" x14ac:dyDescent="0.2">
      <c r="A444" s="5"/>
      <c r="B444" s="20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spans="1:23" ht="12.75" x14ac:dyDescent="0.2">
      <c r="A445" s="5"/>
      <c r="B445" s="20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spans="1:23" ht="12.75" x14ac:dyDescent="0.2">
      <c r="A446" s="5"/>
      <c r="B446" s="20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spans="1:23" ht="12.75" x14ac:dyDescent="0.2">
      <c r="A447" s="5"/>
      <c r="B447" s="20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spans="1:23" ht="12.75" x14ac:dyDescent="0.2">
      <c r="A448" s="5"/>
      <c r="B448" s="20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spans="1:23" ht="12.75" x14ac:dyDescent="0.2">
      <c r="A449" s="5"/>
      <c r="B449" s="20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spans="1:23" ht="12.75" x14ac:dyDescent="0.2">
      <c r="A450" s="5"/>
      <c r="B450" s="20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spans="1:23" ht="12.75" x14ac:dyDescent="0.2">
      <c r="A451" s="5"/>
      <c r="B451" s="20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spans="1:23" ht="12.75" x14ac:dyDescent="0.2">
      <c r="A452" s="5"/>
      <c r="B452" s="20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spans="1:23" ht="12.75" x14ac:dyDescent="0.2">
      <c r="A453" s="5"/>
      <c r="B453" s="20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spans="1:23" ht="12.75" x14ac:dyDescent="0.2">
      <c r="A454" s="5"/>
      <c r="B454" s="20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spans="1:23" ht="12.75" x14ac:dyDescent="0.2">
      <c r="A455" s="5"/>
      <c r="B455" s="20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spans="1:23" ht="12.75" x14ac:dyDescent="0.2">
      <c r="A456" s="5"/>
      <c r="B456" s="20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spans="1:23" ht="12.75" x14ac:dyDescent="0.2">
      <c r="A457" s="5"/>
      <c r="B457" s="20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spans="1:23" ht="12.75" x14ac:dyDescent="0.2">
      <c r="A458" s="5"/>
      <c r="B458" s="20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 spans="1:23" ht="12.75" x14ac:dyDescent="0.2">
      <c r="A459" s="5"/>
      <c r="B459" s="20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spans="1:23" ht="12.75" x14ac:dyDescent="0.2">
      <c r="A460" s="5"/>
      <c r="B460" s="20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spans="1:23" ht="12.75" x14ac:dyDescent="0.2">
      <c r="A461" s="5"/>
      <c r="B461" s="20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spans="1:23" ht="12.75" x14ac:dyDescent="0.2">
      <c r="A462" s="5"/>
      <c r="B462" s="20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spans="1:23" ht="12.75" x14ac:dyDescent="0.2">
      <c r="A463" s="5"/>
      <c r="B463" s="20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spans="1:23" ht="12.75" x14ac:dyDescent="0.2">
      <c r="A464" s="5"/>
      <c r="B464" s="20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spans="1:23" ht="12.75" x14ac:dyDescent="0.2">
      <c r="A465" s="5"/>
      <c r="B465" s="20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spans="1:23" ht="12.75" x14ac:dyDescent="0.2">
      <c r="A466" s="5"/>
      <c r="B466" s="20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spans="1:23" ht="12.75" x14ac:dyDescent="0.2">
      <c r="A467" s="5"/>
      <c r="B467" s="20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spans="1:23" ht="12.75" x14ac:dyDescent="0.2">
      <c r="A468" s="5"/>
      <c r="B468" s="20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spans="1:23" ht="12.75" x14ac:dyDescent="0.2">
      <c r="A469" s="5"/>
      <c r="B469" s="20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spans="1:23" ht="12.75" x14ac:dyDescent="0.2">
      <c r="A470" s="5"/>
      <c r="B470" s="20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spans="1:23" ht="12.75" x14ac:dyDescent="0.2">
      <c r="A471" s="5"/>
      <c r="B471" s="20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 spans="1:23" ht="12.75" x14ac:dyDescent="0.2">
      <c r="A472" s="5"/>
      <c r="B472" s="20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spans="1:23" ht="12.75" x14ac:dyDescent="0.2">
      <c r="A473" s="5"/>
      <c r="B473" s="20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spans="1:23" ht="12.75" x14ac:dyDescent="0.2">
      <c r="A474" s="5"/>
      <c r="B474" s="20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spans="1:23" ht="12.75" x14ac:dyDescent="0.2">
      <c r="A475" s="5"/>
      <c r="B475" s="20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spans="1:23" ht="12.75" x14ac:dyDescent="0.2">
      <c r="A476" s="5"/>
      <c r="B476" s="20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 spans="1:23" ht="12.75" x14ac:dyDescent="0.2">
      <c r="A477" s="5"/>
      <c r="B477" s="20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spans="1:23" ht="12.75" x14ac:dyDescent="0.2">
      <c r="A478" s="5"/>
      <c r="B478" s="20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spans="1:23" ht="12.75" x14ac:dyDescent="0.2">
      <c r="A479" s="5"/>
      <c r="B479" s="20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 spans="1:23" ht="12.75" x14ac:dyDescent="0.2">
      <c r="A480" s="5"/>
      <c r="B480" s="20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spans="1:23" ht="12.75" x14ac:dyDescent="0.2">
      <c r="A481" s="5"/>
      <c r="B481" s="20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spans="1:23" ht="12.75" x14ac:dyDescent="0.2">
      <c r="A482" s="5"/>
      <c r="B482" s="20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spans="1:23" ht="12.75" x14ac:dyDescent="0.2">
      <c r="A483" s="5"/>
      <c r="B483" s="20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spans="1:23" ht="12.75" x14ac:dyDescent="0.2">
      <c r="A484" s="5"/>
      <c r="B484" s="20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spans="1:23" ht="12.75" x14ac:dyDescent="0.2">
      <c r="A485" s="5"/>
      <c r="B485" s="20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spans="1:23" ht="12.75" x14ac:dyDescent="0.2">
      <c r="A486" s="5"/>
      <c r="B486" s="20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spans="1:23" ht="12.75" x14ac:dyDescent="0.2">
      <c r="A487" s="5"/>
      <c r="B487" s="20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spans="1:23" ht="12.75" x14ac:dyDescent="0.2">
      <c r="A488" s="5"/>
      <c r="B488" s="20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spans="1:23" ht="12.75" x14ac:dyDescent="0.2">
      <c r="A489" s="5"/>
      <c r="B489" s="20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spans="1:23" ht="12.75" x14ac:dyDescent="0.2">
      <c r="A490" s="5"/>
      <c r="B490" s="20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 spans="1:23" ht="12.75" x14ac:dyDescent="0.2">
      <c r="A491" s="5"/>
      <c r="B491" s="20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spans="1:23" ht="12.75" x14ac:dyDescent="0.2">
      <c r="A492" s="5"/>
      <c r="B492" s="20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spans="1:23" ht="12.75" x14ac:dyDescent="0.2">
      <c r="A493" s="5"/>
      <c r="B493" s="20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spans="1:23" ht="12.75" x14ac:dyDescent="0.2">
      <c r="A494" s="5"/>
      <c r="B494" s="20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spans="1:23" ht="12.75" x14ac:dyDescent="0.2">
      <c r="A495" s="5"/>
      <c r="B495" s="20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spans="1:23" ht="12.75" x14ac:dyDescent="0.2">
      <c r="A496" s="5"/>
      <c r="B496" s="20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spans="1:23" ht="12.75" x14ac:dyDescent="0.2">
      <c r="A497" s="5"/>
      <c r="B497" s="20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spans="1:23" ht="12.75" x14ac:dyDescent="0.2">
      <c r="A498" s="5"/>
      <c r="B498" s="20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spans="1:23" ht="12.75" x14ac:dyDescent="0.2">
      <c r="A499" s="5"/>
      <c r="B499" s="20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spans="1:23" ht="12.75" x14ac:dyDescent="0.2">
      <c r="A500" s="5"/>
      <c r="B500" s="20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spans="1:23" ht="12.75" x14ac:dyDescent="0.2">
      <c r="A501" s="5"/>
      <c r="B501" s="20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spans="1:23" ht="12.75" x14ac:dyDescent="0.2">
      <c r="A502" s="5"/>
      <c r="B502" s="20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spans="1:23" ht="12.75" x14ac:dyDescent="0.2">
      <c r="A503" s="5"/>
      <c r="B503" s="20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spans="1:23" ht="12.75" x14ac:dyDescent="0.2">
      <c r="A504" s="5"/>
      <c r="B504" s="20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 spans="1:23" ht="12.75" x14ac:dyDescent="0.2">
      <c r="A505" s="5"/>
      <c r="B505" s="20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 spans="1:23" ht="12.75" x14ac:dyDescent="0.2">
      <c r="A506" s="5"/>
      <c r="B506" s="20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 spans="1:23" ht="12.75" x14ac:dyDescent="0.2">
      <c r="A507" s="5"/>
      <c r="B507" s="20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 spans="1:23" ht="12.75" x14ac:dyDescent="0.2">
      <c r="A508" s="5"/>
      <c r="B508" s="20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spans="1:23" ht="12.75" x14ac:dyDescent="0.2">
      <c r="A509" s="5"/>
      <c r="B509" s="20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 spans="1:23" ht="12.75" x14ac:dyDescent="0.2">
      <c r="A510" s="5"/>
      <c r="B510" s="20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 spans="1:23" ht="12.75" x14ac:dyDescent="0.2">
      <c r="A511" s="5"/>
      <c r="B511" s="20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 spans="1:23" ht="12.75" x14ac:dyDescent="0.2">
      <c r="A512" s="5"/>
      <c r="B512" s="20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 spans="1:23" ht="12.75" x14ac:dyDescent="0.2">
      <c r="A513" s="5"/>
      <c r="B513" s="20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 spans="1:23" ht="12.75" x14ac:dyDescent="0.2">
      <c r="A514" s="5"/>
      <c r="B514" s="20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 spans="1:23" ht="12.75" x14ac:dyDescent="0.2">
      <c r="A515" s="5"/>
      <c r="B515" s="20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 spans="1:23" ht="12.75" x14ac:dyDescent="0.2">
      <c r="A516" s="5"/>
      <c r="B516" s="20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 spans="1:23" ht="12.75" x14ac:dyDescent="0.2">
      <c r="A517" s="5"/>
      <c r="B517" s="20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 spans="1:23" ht="12.75" x14ac:dyDescent="0.2">
      <c r="A518" s="5"/>
      <c r="B518" s="20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 spans="1:23" ht="12.75" x14ac:dyDescent="0.2">
      <c r="A519" s="5"/>
      <c r="B519" s="20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 spans="1:23" ht="12.75" x14ac:dyDescent="0.2">
      <c r="A520" s="5"/>
      <c r="B520" s="20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 spans="1:23" ht="12.75" x14ac:dyDescent="0.2">
      <c r="A521" s="5"/>
      <c r="B521" s="20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 spans="1:23" ht="12.75" x14ac:dyDescent="0.2">
      <c r="A522" s="5"/>
      <c r="B522" s="20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spans="1:23" ht="12.75" x14ac:dyDescent="0.2">
      <c r="A523" s="5"/>
      <c r="B523" s="20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 spans="1:23" ht="12.75" x14ac:dyDescent="0.2">
      <c r="A524" s="5"/>
      <c r="B524" s="20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 spans="1:23" ht="12.75" x14ac:dyDescent="0.2">
      <c r="A525" s="5"/>
      <c r="B525" s="20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 spans="1:23" ht="12.75" x14ac:dyDescent="0.2">
      <c r="A526" s="5"/>
      <c r="B526" s="20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 spans="1:23" ht="12.75" x14ac:dyDescent="0.2">
      <c r="A527" s="5"/>
      <c r="B527" s="20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 spans="1:23" ht="12.75" x14ac:dyDescent="0.2">
      <c r="A528" s="5"/>
      <c r="B528" s="20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 spans="1:23" ht="12.75" x14ac:dyDescent="0.2">
      <c r="A529" s="5"/>
      <c r="B529" s="20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 spans="1:23" ht="12.75" x14ac:dyDescent="0.2">
      <c r="A530" s="5"/>
      <c r="B530" s="20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 spans="1:23" ht="12.75" x14ac:dyDescent="0.2">
      <c r="A531" s="5"/>
      <c r="B531" s="20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 spans="1:23" ht="12.75" x14ac:dyDescent="0.2">
      <c r="A532" s="5"/>
      <c r="B532" s="20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spans="1:23" ht="12.75" x14ac:dyDescent="0.2">
      <c r="A533" s="5"/>
      <c r="B533" s="20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 spans="1:23" ht="12.75" x14ac:dyDescent="0.2">
      <c r="A534" s="5"/>
      <c r="B534" s="20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 spans="1:23" ht="12.75" x14ac:dyDescent="0.2">
      <c r="A535" s="5"/>
      <c r="B535" s="20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 spans="1:23" ht="12.75" x14ac:dyDescent="0.2">
      <c r="A536" s="5"/>
      <c r="B536" s="20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spans="1:23" ht="12.75" x14ac:dyDescent="0.2">
      <c r="A537" s="5"/>
      <c r="B537" s="20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spans="1:23" ht="12.75" x14ac:dyDescent="0.2">
      <c r="A538" s="5"/>
      <c r="B538" s="20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 spans="1:23" ht="12.75" x14ac:dyDescent="0.2">
      <c r="A539" s="5"/>
      <c r="B539" s="20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 spans="1:23" ht="12.75" x14ac:dyDescent="0.2">
      <c r="A540" s="5"/>
      <c r="B540" s="20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 spans="1:23" ht="12.75" x14ac:dyDescent="0.2">
      <c r="A541" s="5"/>
      <c r="B541" s="20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 spans="1:23" ht="12.75" x14ac:dyDescent="0.2">
      <c r="A542" s="5"/>
      <c r="B542" s="20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spans="1:23" ht="12.75" x14ac:dyDescent="0.2">
      <c r="A543" s="5"/>
      <c r="B543" s="20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 spans="1:23" ht="12.75" x14ac:dyDescent="0.2">
      <c r="A544" s="5"/>
      <c r="B544" s="20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 spans="1:23" ht="12.75" x14ac:dyDescent="0.2">
      <c r="A545" s="5"/>
      <c r="B545" s="20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spans="1:23" ht="12.75" x14ac:dyDescent="0.2">
      <c r="A546" s="5"/>
      <c r="B546" s="20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 spans="1:23" ht="12.75" x14ac:dyDescent="0.2">
      <c r="A547" s="5"/>
      <c r="B547" s="20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 spans="1:23" ht="12.75" x14ac:dyDescent="0.2">
      <c r="A548" s="5"/>
      <c r="B548" s="20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 spans="1:23" ht="12.75" x14ac:dyDescent="0.2">
      <c r="A549" s="5"/>
      <c r="B549" s="20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 spans="1:23" ht="12.75" x14ac:dyDescent="0.2">
      <c r="A550" s="5"/>
      <c r="B550" s="20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 spans="1:23" ht="12.75" x14ac:dyDescent="0.2">
      <c r="A551" s="5"/>
      <c r="B551" s="20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 spans="1:23" ht="12.75" x14ac:dyDescent="0.2">
      <c r="A552" s="5"/>
      <c r="B552" s="20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 spans="1:23" ht="12.75" x14ac:dyDescent="0.2">
      <c r="A553" s="5"/>
      <c r="B553" s="20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 spans="1:23" ht="12.75" x14ac:dyDescent="0.2">
      <c r="A554" s="5"/>
      <c r="B554" s="20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 spans="1:23" ht="12.75" x14ac:dyDescent="0.2">
      <c r="A555" s="5"/>
      <c r="B555" s="20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 spans="1:23" ht="12.75" x14ac:dyDescent="0.2">
      <c r="A556" s="5"/>
      <c r="B556" s="20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 spans="1:23" ht="12.75" x14ac:dyDescent="0.2">
      <c r="A557" s="5"/>
      <c r="B557" s="20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 spans="1:23" ht="12.75" x14ac:dyDescent="0.2">
      <c r="A558" s="5"/>
      <c r="B558" s="20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 spans="1:23" ht="12.75" x14ac:dyDescent="0.2">
      <c r="A559" s="5"/>
      <c r="B559" s="20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 spans="1:23" ht="12.75" x14ac:dyDescent="0.2">
      <c r="A560" s="5"/>
      <c r="B560" s="20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 spans="1:23" ht="12.75" x14ac:dyDescent="0.2">
      <c r="A561" s="5"/>
      <c r="B561" s="20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 spans="1:23" ht="12.75" x14ac:dyDescent="0.2">
      <c r="A562" s="5"/>
      <c r="B562" s="20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 spans="1:23" ht="12.75" x14ac:dyDescent="0.2">
      <c r="A563" s="5"/>
      <c r="B563" s="20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 spans="1:23" ht="12.75" x14ac:dyDescent="0.2">
      <c r="A564" s="5"/>
      <c r="B564" s="20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 spans="1:23" ht="12.75" x14ac:dyDescent="0.2">
      <c r="A565" s="5"/>
      <c r="B565" s="20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 spans="1:23" ht="12.75" x14ac:dyDescent="0.2">
      <c r="A566" s="5"/>
      <c r="B566" s="20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 spans="1:23" ht="12.75" x14ac:dyDescent="0.2">
      <c r="A567" s="5"/>
      <c r="B567" s="20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 spans="1:23" ht="12.75" x14ac:dyDescent="0.2">
      <c r="A568" s="5"/>
      <c r="B568" s="20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 spans="1:23" ht="12.75" x14ac:dyDescent="0.2">
      <c r="A569" s="5"/>
      <c r="B569" s="20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 spans="1:23" ht="12.75" x14ac:dyDescent="0.2">
      <c r="A570" s="5"/>
      <c r="B570" s="20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 spans="1:23" ht="12.75" x14ac:dyDescent="0.2">
      <c r="A571" s="5"/>
      <c r="B571" s="20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 spans="1:23" ht="12.75" x14ac:dyDescent="0.2">
      <c r="A572" s="5"/>
      <c r="B572" s="20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 spans="1:23" ht="12.75" x14ac:dyDescent="0.2">
      <c r="A573" s="5"/>
      <c r="B573" s="20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 spans="1:23" ht="12.75" x14ac:dyDescent="0.2">
      <c r="A574" s="5"/>
      <c r="B574" s="20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 spans="1:23" ht="12.75" x14ac:dyDescent="0.2">
      <c r="A575" s="5"/>
      <c r="B575" s="20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 spans="1:23" ht="12.75" x14ac:dyDescent="0.2">
      <c r="A576" s="5"/>
      <c r="B576" s="20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 spans="1:23" ht="12.75" x14ac:dyDescent="0.2">
      <c r="A577" s="5"/>
      <c r="B577" s="20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 spans="1:23" ht="12.75" x14ac:dyDescent="0.2">
      <c r="A578" s="5"/>
      <c r="B578" s="20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spans="1:23" ht="12.75" x14ac:dyDescent="0.2">
      <c r="A579" s="5"/>
      <c r="B579" s="20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 spans="1:23" ht="12.75" x14ac:dyDescent="0.2">
      <c r="A580" s="5"/>
      <c r="B580" s="20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 spans="1:23" ht="12.75" x14ac:dyDescent="0.2">
      <c r="A581" s="5"/>
      <c r="B581" s="20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 spans="1:23" ht="12.75" x14ac:dyDescent="0.2">
      <c r="A582" s="5"/>
      <c r="B582" s="20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 spans="1:23" ht="12.75" x14ac:dyDescent="0.2">
      <c r="A583" s="5"/>
      <c r="B583" s="20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 spans="1:23" ht="12.75" x14ac:dyDescent="0.2">
      <c r="A584" s="5"/>
      <c r="B584" s="20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 spans="1:23" ht="12.75" x14ac:dyDescent="0.2">
      <c r="A585" s="5"/>
      <c r="B585" s="20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 spans="1:23" ht="12.75" x14ac:dyDescent="0.2">
      <c r="A586" s="5"/>
      <c r="B586" s="20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spans="1:23" ht="12.75" x14ac:dyDescent="0.2">
      <c r="A587" s="5"/>
      <c r="B587" s="20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 spans="1:23" ht="12.75" x14ac:dyDescent="0.2">
      <c r="A588" s="5"/>
      <c r="B588" s="20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 spans="1:23" ht="12.75" x14ac:dyDescent="0.2">
      <c r="A589" s="5"/>
      <c r="B589" s="20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 spans="1:23" ht="12.75" x14ac:dyDescent="0.2">
      <c r="A590" s="5"/>
      <c r="B590" s="20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 spans="1:23" ht="12.75" x14ac:dyDescent="0.2">
      <c r="A591" s="5"/>
      <c r="B591" s="20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 spans="1:23" ht="12.75" x14ac:dyDescent="0.2">
      <c r="A592" s="5"/>
      <c r="B592" s="20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spans="1:23" ht="12.75" x14ac:dyDescent="0.2">
      <c r="A593" s="5"/>
      <c r="B593" s="20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 spans="1:23" ht="12.75" x14ac:dyDescent="0.2">
      <c r="A594" s="5"/>
      <c r="B594" s="20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 spans="1:23" ht="12.75" x14ac:dyDescent="0.2">
      <c r="A595" s="5"/>
      <c r="B595" s="20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 spans="1:23" ht="12.75" x14ac:dyDescent="0.2">
      <c r="A596" s="5"/>
      <c r="B596" s="20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 spans="1:23" ht="12.75" x14ac:dyDescent="0.2">
      <c r="A597" s="5"/>
      <c r="B597" s="20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 spans="1:23" ht="12.75" x14ac:dyDescent="0.2">
      <c r="A598" s="5"/>
      <c r="B598" s="20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 spans="1:23" ht="12.75" x14ac:dyDescent="0.2">
      <c r="A599" s="5"/>
      <c r="B599" s="20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 spans="1:23" ht="12.75" x14ac:dyDescent="0.2">
      <c r="A600" s="5"/>
      <c r="B600" s="20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 spans="1:23" ht="12.75" x14ac:dyDescent="0.2">
      <c r="A601" s="5"/>
      <c r="B601" s="20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 spans="1:23" ht="12.75" x14ac:dyDescent="0.2">
      <c r="A602" s="5"/>
      <c r="B602" s="20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 spans="1:23" ht="12.75" x14ac:dyDescent="0.2">
      <c r="A603" s="5"/>
      <c r="B603" s="20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 spans="1:23" ht="12.75" x14ac:dyDescent="0.2">
      <c r="A604" s="5"/>
      <c r="B604" s="20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 spans="1:23" ht="12.75" x14ac:dyDescent="0.2">
      <c r="A605" s="5"/>
      <c r="B605" s="20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 spans="1:23" ht="12.75" x14ac:dyDescent="0.2">
      <c r="A606" s="5"/>
      <c r="B606" s="20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 spans="1:23" ht="12.75" x14ac:dyDescent="0.2">
      <c r="A607" s="5"/>
      <c r="B607" s="20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 spans="1:23" ht="12.75" x14ac:dyDescent="0.2">
      <c r="A608" s="5"/>
      <c r="B608" s="20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 spans="1:23" ht="12.75" x14ac:dyDescent="0.2">
      <c r="A609" s="5"/>
      <c r="B609" s="20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 spans="1:23" ht="12.75" x14ac:dyDescent="0.2">
      <c r="A610" s="5"/>
      <c r="B610" s="20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 spans="1:23" ht="12.75" x14ac:dyDescent="0.2">
      <c r="A611" s="5"/>
      <c r="B611" s="20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 spans="1:23" ht="12.75" x14ac:dyDescent="0.2">
      <c r="A612" s="5"/>
      <c r="B612" s="20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 spans="1:23" ht="12.75" x14ac:dyDescent="0.2">
      <c r="A613" s="5"/>
      <c r="B613" s="20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 spans="1:23" ht="12.75" x14ac:dyDescent="0.2">
      <c r="A614" s="5"/>
      <c r="B614" s="20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 spans="1:23" ht="12.75" x14ac:dyDescent="0.2">
      <c r="A615" s="5"/>
      <c r="B615" s="20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 spans="1:23" ht="12.75" x14ac:dyDescent="0.2">
      <c r="A616" s="5"/>
      <c r="B616" s="20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 spans="1:23" ht="12.75" x14ac:dyDescent="0.2">
      <c r="A617" s="5"/>
      <c r="B617" s="20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 spans="1:23" ht="12.75" x14ac:dyDescent="0.2">
      <c r="A618" s="5"/>
      <c r="B618" s="20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 spans="1:23" ht="12.75" x14ac:dyDescent="0.2">
      <c r="A619" s="5"/>
      <c r="B619" s="20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 spans="1:23" ht="12.75" x14ac:dyDescent="0.2">
      <c r="A620" s="5"/>
      <c r="B620" s="20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spans="1:23" ht="12.75" x14ac:dyDescent="0.2">
      <c r="A621" s="5"/>
      <c r="B621" s="20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 spans="1:23" ht="12.75" x14ac:dyDescent="0.2">
      <c r="A622" s="5"/>
      <c r="B622" s="20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 spans="1:23" ht="12.75" x14ac:dyDescent="0.2">
      <c r="A623" s="5"/>
      <c r="B623" s="20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 spans="1:23" ht="12.75" x14ac:dyDescent="0.2">
      <c r="A624" s="5"/>
      <c r="B624" s="20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 spans="1:23" ht="12.75" x14ac:dyDescent="0.2">
      <c r="A625" s="5"/>
      <c r="B625" s="20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 spans="1:23" ht="12.75" x14ac:dyDescent="0.2">
      <c r="A626" s="5"/>
      <c r="B626" s="20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 spans="1:23" ht="12.75" x14ac:dyDescent="0.2">
      <c r="A627" s="5"/>
      <c r="B627" s="20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 spans="1:23" ht="12.75" x14ac:dyDescent="0.2">
      <c r="A628" s="5"/>
      <c r="B628" s="20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 spans="1:23" ht="12.75" x14ac:dyDescent="0.2">
      <c r="A629" s="5"/>
      <c r="B629" s="20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 spans="1:23" ht="12.75" x14ac:dyDescent="0.2">
      <c r="A630" s="5"/>
      <c r="B630" s="20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 spans="1:23" ht="12.75" x14ac:dyDescent="0.2">
      <c r="A631" s="5"/>
      <c r="B631" s="20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 spans="1:23" ht="12.75" x14ac:dyDescent="0.2">
      <c r="A632" s="5"/>
      <c r="B632" s="20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 spans="1:23" ht="12.75" x14ac:dyDescent="0.2">
      <c r="A633" s="5"/>
      <c r="B633" s="20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 spans="1:23" ht="12.75" x14ac:dyDescent="0.2">
      <c r="A634" s="5"/>
      <c r="B634" s="20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 spans="1:23" ht="12.75" x14ac:dyDescent="0.2">
      <c r="A635" s="5"/>
      <c r="B635" s="20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 spans="1:23" ht="12.75" x14ac:dyDescent="0.2">
      <c r="A636" s="5"/>
      <c r="B636" s="20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 spans="1:23" ht="12.75" x14ac:dyDescent="0.2">
      <c r="A637" s="5"/>
      <c r="B637" s="20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 spans="1:23" ht="12.75" x14ac:dyDescent="0.2">
      <c r="A638" s="5"/>
      <c r="B638" s="20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 spans="1:23" ht="12.75" x14ac:dyDescent="0.2">
      <c r="A639" s="5"/>
      <c r="B639" s="20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 spans="1:23" ht="12.75" x14ac:dyDescent="0.2">
      <c r="A640" s="5"/>
      <c r="B640" s="20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 spans="1:23" ht="12.75" x14ac:dyDescent="0.2">
      <c r="A641" s="5"/>
      <c r="B641" s="20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 spans="1:23" ht="12.75" x14ac:dyDescent="0.2">
      <c r="A642" s="5"/>
      <c r="B642" s="20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 spans="1:23" ht="12.75" x14ac:dyDescent="0.2">
      <c r="A643" s="5"/>
      <c r="B643" s="20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 spans="1:23" ht="12.75" x14ac:dyDescent="0.2">
      <c r="A644" s="5"/>
      <c r="B644" s="20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 spans="1:23" ht="12.75" x14ac:dyDescent="0.2">
      <c r="A645" s="5"/>
      <c r="B645" s="20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 spans="1:23" ht="12.75" x14ac:dyDescent="0.2">
      <c r="A646" s="5"/>
      <c r="B646" s="20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 spans="1:23" ht="12.75" x14ac:dyDescent="0.2">
      <c r="A647" s="5"/>
      <c r="B647" s="20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 spans="1:23" ht="12.75" x14ac:dyDescent="0.2">
      <c r="A648" s="5"/>
      <c r="B648" s="20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 spans="1:23" ht="12.75" x14ac:dyDescent="0.2">
      <c r="A649" s="5"/>
      <c r="B649" s="20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 spans="1:23" ht="12.75" x14ac:dyDescent="0.2">
      <c r="A650" s="5"/>
      <c r="B650" s="20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 spans="1:23" ht="12.75" x14ac:dyDescent="0.2">
      <c r="A651" s="5"/>
      <c r="B651" s="20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 spans="1:23" ht="12.75" x14ac:dyDescent="0.2">
      <c r="A652" s="5"/>
      <c r="B652" s="20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 spans="1:23" ht="12.75" x14ac:dyDescent="0.2">
      <c r="A653" s="5"/>
      <c r="B653" s="20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 spans="1:23" ht="12.75" x14ac:dyDescent="0.2">
      <c r="A654" s="5"/>
      <c r="B654" s="20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 spans="1:23" ht="12.75" x14ac:dyDescent="0.2">
      <c r="A655" s="5"/>
      <c r="B655" s="20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 spans="1:23" ht="12.75" x14ac:dyDescent="0.2">
      <c r="A656" s="5"/>
      <c r="B656" s="20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 spans="1:23" ht="12.75" x14ac:dyDescent="0.2">
      <c r="A657" s="5"/>
      <c r="B657" s="20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 spans="1:23" ht="12.75" x14ac:dyDescent="0.2">
      <c r="A658" s="5"/>
      <c r="B658" s="20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 spans="1:23" ht="12.75" x14ac:dyDescent="0.2">
      <c r="A659" s="5"/>
      <c r="B659" s="20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 spans="1:23" ht="12.75" x14ac:dyDescent="0.2">
      <c r="A660" s="5"/>
      <c r="B660" s="20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 spans="1:23" ht="12.75" x14ac:dyDescent="0.2">
      <c r="A661" s="5"/>
      <c r="B661" s="20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 spans="1:23" ht="12.75" x14ac:dyDescent="0.2">
      <c r="A662" s="5"/>
      <c r="B662" s="20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 spans="1:23" ht="12.75" x14ac:dyDescent="0.2">
      <c r="A663" s="5"/>
      <c r="B663" s="20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 spans="1:23" ht="12.75" x14ac:dyDescent="0.2">
      <c r="A664" s="5"/>
      <c r="B664" s="20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 spans="1:23" ht="12.75" x14ac:dyDescent="0.2">
      <c r="A665" s="5"/>
      <c r="B665" s="20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 spans="1:23" ht="12.75" x14ac:dyDescent="0.2">
      <c r="A666" s="5"/>
      <c r="B666" s="20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 spans="1:23" ht="12.75" x14ac:dyDescent="0.2">
      <c r="A667" s="5"/>
      <c r="B667" s="20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 spans="1:23" ht="12.75" x14ac:dyDescent="0.2">
      <c r="A668" s="5"/>
      <c r="B668" s="20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 spans="1:23" ht="12.75" x14ac:dyDescent="0.2">
      <c r="A669" s="5"/>
      <c r="B669" s="20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 spans="1:23" ht="12.75" x14ac:dyDescent="0.2">
      <c r="A670" s="5"/>
      <c r="B670" s="20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 spans="1:23" ht="12.75" x14ac:dyDescent="0.2">
      <c r="A671" s="5"/>
      <c r="B671" s="20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 spans="1:23" ht="12.75" x14ac:dyDescent="0.2">
      <c r="A672" s="5"/>
      <c r="B672" s="20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 spans="1:23" ht="12.75" x14ac:dyDescent="0.2">
      <c r="A673" s="5"/>
      <c r="B673" s="20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 spans="1:23" ht="12.75" x14ac:dyDescent="0.2">
      <c r="A674" s="5"/>
      <c r="B674" s="20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 spans="1:23" ht="12.75" x14ac:dyDescent="0.2">
      <c r="A675" s="5"/>
      <c r="B675" s="20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 spans="1:23" ht="12.75" x14ac:dyDescent="0.2">
      <c r="A676" s="5"/>
      <c r="B676" s="20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 spans="1:23" ht="12.75" x14ac:dyDescent="0.2">
      <c r="A677" s="5"/>
      <c r="B677" s="20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 spans="1:23" ht="12.75" x14ac:dyDescent="0.2">
      <c r="A678" s="5"/>
      <c r="B678" s="20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 spans="1:23" ht="12.75" x14ac:dyDescent="0.2">
      <c r="A679" s="5"/>
      <c r="B679" s="20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 spans="1:23" ht="12.75" x14ac:dyDescent="0.2">
      <c r="A680" s="5"/>
      <c r="B680" s="20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 spans="1:23" ht="12.75" x14ac:dyDescent="0.2">
      <c r="A681" s="5"/>
      <c r="B681" s="20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 spans="1:23" ht="12.75" x14ac:dyDescent="0.2">
      <c r="A682" s="5"/>
      <c r="B682" s="20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 spans="1:23" ht="12.75" x14ac:dyDescent="0.2">
      <c r="A683" s="5"/>
      <c r="B683" s="20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 spans="1:23" ht="12.75" x14ac:dyDescent="0.2">
      <c r="A684" s="5"/>
      <c r="B684" s="20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 spans="1:23" ht="12.75" x14ac:dyDescent="0.2">
      <c r="A685" s="5"/>
      <c r="B685" s="20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 spans="1:23" ht="12.75" x14ac:dyDescent="0.2">
      <c r="A686" s="5"/>
      <c r="B686" s="20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 spans="1:23" ht="12.75" x14ac:dyDescent="0.2">
      <c r="A687" s="5"/>
      <c r="B687" s="20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 spans="1:23" ht="12.75" x14ac:dyDescent="0.2">
      <c r="A688" s="5"/>
      <c r="B688" s="20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 spans="1:23" ht="12.75" x14ac:dyDescent="0.2">
      <c r="A689" s="5"/>
      <c r="B689" s="20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 spans="1:23" ht="12.75" x14ac:dyDescent="0.2">
      <c r="A690" s="5"/>
      <c r="B690" s="20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 spans="1:23" ht="12.75" x14ac:dyDescent="0.2">
      <c r="A691" s="5"/>
      <c r="B691" s="20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 spans="1:23" ht="12.75" x14ac:dyDescent="0.2">
      <c r="A692" s="5"/>
      <c r="B692" s="20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 spans="1:23" ht="12.75" x14ac:dyDescent="0.2">
      <c r="A693" s="5"/>
      <c r="B693" s="20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 spans="1:23" ht="12.75" x14ac:dyDescent="0.2">
      <c r="A694" s="5"/>
      <c r="B694" s="20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 spans="1:23" ht="12.75" x14ac:dyDescent="0.2">
      <c r="A695" s="5"/>
      <c r="B695" s="20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 spans="1:23" ht="12.75" x14ac:dyDescent="0.2">
      <c r="A696" s="5"/>
      <c r="B696" s="20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 spans="1:23" ht="12.75" x14ac:dyDescent="0.2">
      <c r="A697" s="5"/>
      <c r="B697" s="20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 spans="1:23" ht="12.75" x14ac:dyDescent="0.2">
      <c r="A698" s="5"/>
      <c r="B698" s="20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 spans="1:23" ht="12.75" x14ac:dyDescent="0.2">
      <c r="A699" s="5"/>
      <c r="B699" s="20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 spans="1:23" ht="12.75" x14ac:dyDescent="0.2">
      <c r="A700" s="5"/>
      <c r="B700" s="20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 spans="1:23" ht="12.75" x14ac:dyDescent="0.2">
      <c r="A701" s="5"/>
      <c r="B701" s="20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 spans="1:23" ht="12.75" x14ac:dyDescent="0.2">
      <c r="A702" s="5"/>
      <c r="B702" s="20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 spans="1:23" ht="12.75" x14ac:dyDescent="0.2">
      <c r="A703" s="5"/>
      <c r="B703" s="20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 spans="1:23" ht="12.75" x14ac:dyDescent="0.2">
      <c r="A704" s="5"/>
      <c r="B704" s="20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 spans="1:23" ht="12.75" x14ac:dyDescent="0.2">
      <c r="A705" s="5"/>
      <c r="B705" s="20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 spans="1:23" ht="12.75" x14ac:dyDescent="0.2">
      <c r="A706" s="5"/>
      <c r="B706" s="20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 spans="1:23" ht="12.75" x14ac:dyDescent="0.2">
      <c r="A707" s="5"/>
      <c r="B707" s="20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 spans="1:23" ht="12.75" x14ac:dyDescent="0.2">
      <c r="A708" s="5"/>
      <c r="B708" s="20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 spans="1:23" ht="12.75" x14ac:dyDescent="0.2">
      <c r="A709" s="5"/>
      <c r="B709" s="20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 spans="1:23" ht="12.75" x14ac:dyDescent="0.2">
      <c r="A710" s="5"/>
      <c r="B710" s="20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 spans="1:23" ht="12.75" x14ac:dyDescent="0.2">
      <c r="A711" s="5"/>
      <c r="B711" s="20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 spans="1:23" ht="12.75" x14ac:dyDescent="0.2">
      <c r="A712" s="5"/>
      <c r="B712" s="20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 spans="1:23" ht="12.75" x14ac:dyDescent="0.2">
      <c r="A713" s="5"/>
      <c r="B713" s="20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 spans="1:23" ht="12.75" x14ac:dyDescent="0.2">
      <c r="A714" s="5"/>
      <c r="B714" s="20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 spans="1:23" ht="12.75" x14ac:dyDescent="0.2">
      <c r="A715" s="5"/>
      <c r="B715" s="20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 spans="1:23" ht="12.75" x14ac:dyDescent="0.2">
      <c r="A716" s="5"/>
      <c r="B716" s="20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 spans="1:23" ht="12.75" x14ac:dyDescent="0.2">
      <c r="A717" s="5"/>
      <c r="B717" s="20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 spans="1:23" ht="12.75" x14ac:dyDescent="0.2">
      <c r="A718" s="5"/>
      <c r="B718" s="20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 spans="1:23" ht="12.75" x14ac:dyDescent="0.2">
      <c r="A719" s="5"/>
      <c r="B719" s="20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 spans="1:23" ht="12.75" x14ac:dyDescent="0.2">
      <c r="A720" s="5"/>
      <c r="B720" s="20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 spans="1:23" ht="12.75" x14ac:dyDescent="0.2">
      <c r="A721" s="5"/>
      <c r="B721" s="20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 spans="1:23" ht="12.75" x14ac:dyDescent="0.2">
      <c r="A722" s="5"/>
      <c r="B722" s="20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 spans="1:23" ht="12.75" x14ac:dyDescent="0.2">
      <c r="A723" s="5"/>
      <c r="B723" s="20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 spans="1:23" ht="12.75" x14ac:dyDescent="0.2">
      <c r="A724" s="5"/>
      <c r="B724" s="20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 spans="1:23" ht="12.75" x14ac:dyDescent="0.2">
      <c r="A725" s="5"/>
      <c r="B725" s="20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 spans="1:23" ht="12.75" x14ac:dyDescent="0.2">
      <c r="A726" s="5"/>
      <c r="B726" s="20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 spans="1:23" ht="12.75" x14ac:dyDescent="0.2">
      <c r="A727" s="5"/>
      <c r="B727" s="20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 spans="1:23" ht="12.75" x14ac:dyDescent="0.2">
      <c r="A728" s="5"/>
      <c r="B728" s="20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 spans="1:23" ht="12.75" x14ac:dyDescent="0.2">
      <c r="A729" s="5"/>
      <c r="B729" s="20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 spans="1:23" ht="12.75" x14ac:dyDescent="0.2">
      <c r="A730" s="5"/>
      <c r="B730" s="20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 spans="1:23" ht="12.75" x14ac:dyDescent="0.2">
      <c r="A731" s="5"/>
      <c r="B731" s="20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 spans="1:23" ht="12.75" x14ac:dyDescent="0.2">
      <c r="A732" s="5"/>
      <c r="B732" s="20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 spans="1:23" ht="12.75" x14ac:dyDescent="0.2">
      <c r="A733" s="5"/>
      <c r="B733" s="20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 spans="1:23" ht="12.75" x14ac:dyDescent="0.2">
      <c r="A734" s="5"/>
      <c r="B734" s="20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 spans="1:23" ht="12.75" x14ac:dyDescent="0.2">
      <c r="A735" s="5"/>
      <c r="B735" s="20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 spans="1:23" ht="12.75" x14ac:dyDescent="0.2">
      <c r="A736" s="5"/>
      <c r="B736" s="20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 spans="1:23" ht="12.75" x14ac:dyDescent="0.2">
      <c r="A737" s="5"/>
      <c r="B737" s="20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 spans="1:23" ht="12.75" x14ac:dyDescent="0.2">
      <c r="A738" s="5"/>
      <c r="B738" s="20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 spans="1:23" ht="12.75" x14ac:dyDescent="0.2">
      <c r="A739" s="5"/>
      <c r="B739" s="20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 spans="1:23" ht="12.75" x14ac:dyDescent="0.2">
      <c r="A740" s="5"/>
      <c r="B740" s="20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 spans="1:23" ht="12.75" x14ac:dyDescent="0.2">
      <c r="A741" s="5"/>
      <c r="B741" s="20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 spans="1:23" ht="12.75" x14ac:dyDescent="0.2">
      <c r="A742" s="5"/>
      <c r="B742" s="20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 spans="1:23" ht="12.75" x14ac:dyDescent="0.2">
      <c r="A743" s="5"/>
      <c r="B743" s="20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 spans="1:23" ht="12.75" x14ac:dyDescent="0.2">
      <c r="A744" s="5"/>
      <c r="B744" s="20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 spans="1:23" ht="12.75" x14ac:dyDescent="0.2">
      <c r="A745" s="5"/>
      <c r="B745" s="20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 spans="1:23" ht="12.75" x14ac:dyDescent="0.2">
      <c r="A746" s="5"/>
      <c r="B746" s="20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 spans="1:23" ht="12.75" x14ac:dyDescent="0.2">
      <c r="A747" s="5"/>
      <c r="B747" s="20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 spans="1:23" ht="12.75" x14ac:dyDescent="0.2">
      <c r="A748" s="5"/>
      <c r="B748" s="20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 spans="1:23" ht="12.75" x14ac:dyDescent="0.2">
      <c r="A749" s="5"/>
      <c r="B749" s="20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 spans="1:23" ht="12.75" x14ac:dyDescent="0.2">
      <c r="A750" s="5"/>
      <c r="B750" s="20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 spans="1:23" ht="12.75" x14ac:dyDescent="0.2">
      <c r="A751" s="5"/>
      <c r="B751" s="20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 spans="1:23" ht="12.75" x14ac:dyDescent="0.2">
      <c r="A752" s="5"/>
      <c r="B752" s="20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 spans="1:23" ht="12.75" x14ac:dyDescent="0.2">
      <c r="A753" s="5"/>
      <c r="B753" s="20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 spans="1:23" ht="12.75" x14ac:dyDescent="0.2">
      <c r="A754" s="5"/>
      <c r="B754" s="20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 spans="1:23" ht="12.75" x14ac:dyDescent="0.2">
      <c r="A755" s="5"/>
      <c r="B755" s="20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 spans="1:23" ht="12.75" x14ac:dyDescent="0.2">
      <c r="A756" s="5"/>
      <c r="B756" s="20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 spans="1:23" ht="12.75" x14ac:dyDescent="0.2">
      <c r="A757" s="5"/>
      <c r="B757" s="20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 spans="1:23" ht="12.75" x14ac:dyDescent="0.2">
      <c r="A758" s="5"/>
      <c r="B758" s="20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 spans="1:23" ht="12.75" x14ac:dyDescent="0.2">
      <c r="A759" s="5"/>
      <c r="B759" s="20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 spans="1:23" ht="12.75" x14ac:dyDescent="0.2">
      <c r="A760" s="5"/>
      <c r="B760" s="20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 spans="1:23" ht="12.75" x14ac:dyDescent="0.2">
      <c r="A761" s="5"/>
      <c r="B761" s="20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 spans="1:23" ht="12.75" x14ac:dyDescent="0.2">
      <c r="A762" s="5"/>
      <c r="B762" s="20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 spans="1:23" ht="12.75" x14ac:dyDescent="0.2">
      <c r="A763" s="5"/>
      <c r="B763" s="20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 spans="1:23" ht="12.75" x14ac:dyDescent="0.2">
      <c r="A764" s="5"/>
      <c r="B764" s="20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 spans="1:23" ht="12.75" x14ac:dyDescent="0.2">
      <c r="A765" s="5"/>
      <c r="B765" s="20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 spans="1:23" ht="12.75" x14ac:dyDescent="0.2">
      <c r="A766" s="5"/>
      <c r="B766" s="20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 spans="1:23" ht="12.75" x14ac:dyDescent="0.2">
      <c r="A767" s="5"/>
      <c r="B767" s="20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 spans="1:23" ht="12.75" x14ac:dyDescent="0.2">
      <c r="A768" s="5"/>
      <c r="B768" s="20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 spans="1:23" ht="12.75" x14ac:dyDescent="0.2">
      <c r="A769" s="5"/>
      <c r="B769" s="20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 spans="1:23" ht="12.75" x14ac:dyDescent="0.2">
      <c r="A770" s="5"/>
      <c r="B770" s="20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 spans="1:23" ht="12.75" x14ac:dyDescent="0.2">
      <c r="A771" s="5"/>
      <c r="B771" s="20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 spans="1:23" ht="12.75" x14ac:dyDescent="0.2">
      <c r="A772" s="5"/>
      <c r="B772" s="20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 spans="1:23" ht="12.75" x14ac:dyDescent="0.2">
      <c r="A773" s="5"/>
      <c r="B773" s="20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 spans="1:23" ht="12.75" x14ac:dyDescent="0.2">
      <c r="A774" s="5"/>
      <c r="B774" s="20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 spans="1:23" ht="12.75" x14ac:dyDescent="0.2">
      <c r="A775" s="5"/>
      <c r="B775" s="20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 spans="1:23" ht="12.75" x14ac:dyDescent="0.2">
      <c r="A776" s="5"/>
      <c r="B776" s="20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 spans="1:23" ht="12.75" x14ac:dyDescent="0.2">
      <c r="A777" s="5"/>
      <c r="B777" s="20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 spans="1:23" ht="12.75" x14ac:dyDescent="0.2">
      <c r="A778" s="5"/>
      <c r="B778" s="20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 spans="1:23" ht="12.75" x14ac:dyDescent="0.2">
      <c r="A779" s="5"/>
      <c r="B779" s="20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 spans="1:23" ht="12.75" x14ac:dyDescent="0.2">
      <c r="A780" s="5"/>
      <c r="B780" s="20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 spans="1:23" ht="12.75" x14ac:dyDescent="0.2">
      <c r="A781" s="5"/>
      <c r="B781" s="20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 spans="1:23" ht="12.75" x14ac:dyDescent="0.2">
      <c r="A782" s="5"/>
      <c r="B782" s="20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 spans="1:23" ht="12.75" x14ac:dyDescent="0.2">
      <c r="A783" s="5"/>
      <c r="B783" s="20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 spans="1:23" ht="12.75" x14ac:dyDescent="0.2">
      <c r="A784" s="5"/>
      <c r="B784" s="20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 spans="1:23" ht="12.75" x14ac:dyDescent="0.2">
      <c r="A785" s="5"/>
      <c r="B785" s="20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 spans="1:23" ht="12.75" x14ac:dyDescent="0.2">
      <c r="A786" s="5"/>
      <c r="B786" s="20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 spans="1:23" ht="12.75" x14ac:dyDescent="0.2">
      <c r="A787" s="5"/>
      <c r="B787" s="20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 spans="1:23" ht="12.75" x14ac:dyDescent="0.2">
      <c r="A788" s="5"/>
      <c r="B788" s="20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 spans="1:23" ht="12.75" x14ac:dyDescent="0.2">
      <c r="A789" s="5"/>
      <c r="B789" s="20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 spans="1:23" ht="12.75" x14ac:dyDescent="0.2">
      <c r="A790" s="5"/>
      <c r="B790" s="20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 spans="1:23" ht="12.75" x14ac:dyDescent="0.2">
      <c r="A791" s="5"/>
      <c r="B791" s="20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 spans="1:23" ht="12.75" x14ac:dyDescent="0.2">
      <c r="A792" s="5"/>
      <c r="B792" s="20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 spans="1:23" ht="12.75" x14ac:dyDescent="0.2">
      <c r="A793" s="5"/>
      <c r="B793" s="20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 spans="1:23" ht="12.75" x14ac:dyDescent="0.2">
      <c r="A794" s="5"/>
      <c r="B794" s="20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 spans="1:23" ht="12.75" x14ac:dyDescent="0.2">
      <c r="A795" s="5"/>
      <c r="B795" s="20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 spans="1:23" ht="12.75" x14ac:dyDescent="0.2">
      <c r="A796" s="5"/>
      <c r="B796" s="20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 spans="1:23" ht="12.75" x14ac:dyDescent="0.2">
      <c r="A797" s="5"/>
      <c r="B797" s="20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 spans="1:23" ht="12.75" x14ac:dyDescent="0.2">
      <c r="A798" s="5"/>
      <c r="B798" s="20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 spans="1:23" ht="12.75" x14ac:dyDescent="0.2">
      <c r="A799" s="5"/>
      <c r="B799" s="20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 spans="1:23" ht="12.75" x14ac:dyDescent="0.2">
      <c r="A800" s="5"/>
      <c r="B800" s="20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 spans="1:23" ht="12.75" x14ac:dyDescent="0.2">
      <c r="A801" s="5"/>
      <c r="B801" s="20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 spans="1:23" ht="12.75" x14ac:dyDescent="0.2">
      <c r="A802" s="5"/>
      <c r="B802" s="20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 spans="1:23" ht="12.75" x14ac:dyDescent="0.2">
      <c r="A803" s="5"/>
      <c r="B803" s="20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 spans="1:23" ht="12.75" x14ac:dyDescent="0.2">
      <c r="A804" s="5"/>
      <c r="B804" s="20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 spans="1:23" ht="12.75" x14ac:dyDescent="0.2">
      <c r="A805" s="5"/>
      <c r="B805" s="20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 spans="1:23" ht="12.75" x14ac:dyDescent="0.2">
      <c r="A806" s="5"/>
      <c r="B806" s="20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 spans="1:23" ht="12.75" x14ac:dyDescent="0.2">
      <c r="A807" s="5"/>
      <c r="B807" s="20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 spans="1:23" ht="12.75" x14ac:dyDescent="0.2">
      <c r="A808" s="5"/>
      <c r="B808" s="20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 spans="1:23" ht="12.75" x14ac:dyDescent="0.2">
      <c r="A809" s="5"/>
      <c r="B809" s="20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 spans="1:23" ht="12.75" x14ac:dyDescent="0.2">
      <c r="A810" s="5"/>
      <c r="B810" s="20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 spans="1:23" ht="12.75" x14ac:dyDescent="0.2">
      <c r="A811" s="5"/>
      <c r="B811" s="20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 spans="1:23" ht="12.75" x14ac:dyDescent="0.2">
      <c r="A812" s="5"/>
      <c r="B812" s="20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 spans="1:23" ht="12.75" x14ac:dyDescent="0.2">
      <c r="A813" s="5"/>
      <c r="B813" s="20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 spans="1:23" ht="12.75" x14ac:dyDescent="0.2">
      <c r="A814" s="5"/>
      <c r="B814" s="20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 spans="1:23" ht="12.75" x14ac:dyDescent="0.2">
      <c r="A815" s="5"/>
      <c r="B815" s="20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 spans="1:23" ht="12.75" x14ac:dyDescent="0.2">
      <c r="A816" s="5"/>
      <c r="B816" s="20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spans="1:23" ht="12.75" x14ac:dyDescent="0.2">
      <c r="A817" s="5"/>
      <c r="B817" s="20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 spans="1:23" ht="12.75" x14ac:dyDescent="0.2">
      <c r="A818" s="5"/>
      <c r="B818" s="20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 spans="1:23" ht="12.75" x14ac:dyDescent="0.2">
      <c r="A819" s="5"/>
      <c r="B819" s="20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 spans="1:23" ht="12.75" x14ac:dyDescent="0.2">
      <c r="A820" s="5"/>
      <c r="B820" s="20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 spans="1:23" ht="12.75" x14ac:dyDescent="0.2">
      <c r="A821" s="5"/>
      <c r="B821" s="20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 spans="1:23" ht="12.75" x14ac:dyDescent="0.2">
      <c r="A822" s="5"/>
      <c r="B822" s="20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 spans="1:23" ht="12.75" x14ac:dyDescent="0.2">
      <c r="A823" s="5"/>
      <c r="B823" s="20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 spans="1:23" ht="12.75" x14ac:dyDescent="0.2">
      <c r="A824" s="5"/>
      <c r="B824" s="20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 spans="1:23" ht="12.75" x14ac:dyDescent="0.2">
      <c r="A825" s="5"/>
      <c r="B825" s="20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 spans="1:23" ht="12.75" x14ac:dyDescent="0.2">
      <c r="A826" s="5"/>
      <c r="B826" s="20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 spans="1:23" ht="12.75" x14ac:dyDescent="0.2">
      <c r="A827" s="5"/>
      <c r="B827" s="20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 spans="1:23" ht="12.75" x14ac:dyDescent="0.2">
      <c r="A828" s="5"/>
      <c r="B828" s="20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 spans="1:23" ht="12.75" x14ac:dyDescent="0.2">
      <c r="A829" s="5"/>
      <c r="B829" s="20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 spans="1:23" ht="12.75" x14ac:dyDescent="0.2">
      <c r="A830" s="5"/>
      <c r="B830" s="20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 spans="1:23" ht="12.75" x14ac:dyDescent="0.2">
      <c r="A831" s="5"/>
      <c r="B831" s="20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 spans="1:23" ht="12.75" x14ac:dyDescent="0.2">
      <c r="A832" s="5"/>
      <c r="B832" s="20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 spans="1:23" ht="12.75" x14ac:dyDescent="0.2">
      <c r="A833" s="5"/>
      <c r="B833" s="20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 spans="1:23" ht="12.75" x14ac:dyDescent="0.2">
      <c r="A834" s="5"/>
      <c r="B834" s="20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 spans="1:23" ht="12.75" x14ac:dyDescent="0.2">
      <c r="A835" s="5"/>
      <c r="B835" s="20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 spans="1:23" ht="12.75" x14ac:dyDescent="0.2">
      <c r="A836" s="5"/>
      <c r="B836" s="20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 spans="1:23" ht="12.75" x14ac:dyDescent="0.2">
      <c r="A837" s="5"/>
      <c r="B837" s="20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 spans="1:23" ht="12.75" x14ac:dyDescent="0.2">
      <c r="A838" s="5"/>
      <c r="B838" s="20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 spans="1:23" ht="12.75" x14ac:dyDescent="0.2">
      <c r="A839" s="5"/>
      <c r="B839" s="20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 spans="1:23" ht="12.75" x14ac:dyDescent="0.2">
      <c r="A840" s="5"/>
      <c r="B840" s="20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 spans="1:23" ht="12.75" x14ac:dyDescent="0.2">
      <c r="A841" s="5"/>
      <c r="B841" s="20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 spans="1:23" ht="12.75" x14ac:dyDescent="0.2">
      <c r="A842" s="5"/>
      <c r="B842" s="20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 spans="1:23" ht="12.75" x14ac:dyDescent="0.2">
      <c r="A843" s="5"/>
      <c r="B843" s="20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 spans="1:23" ht="12.75" x14ac:dyDescent="0.2">
      <c r="A844" s="5"/>
      <c r="B844" s="20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 spans="1:23" ht="12.75" x14ac:dyDescent="0.2">
      <c r="A845" s="5"/>
      <c r="B845" s="20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 spans="1:23" ht="12.75" x14ac:dyDescent="0.2">
      <c r="A846" s="5"/>
      <c r="B846" s="20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 spans="1:23" ht="12.75" x14ac:dyDescent="0.2">
      <c r="A847" s="5"/>
      <c r="B847" s="20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 spans="1:23" ht="12.75" x14ac:dyDescent="0.2">
      <c r="A848" s="5"/>
      <c r="B848" s="20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 spans="1:23" ht="12.75" x14ac:dyDescent="0.2">
      <c r="A849" s="5"/>
      <c r="B849" s="20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 spans="1:23" ht="12.75" x14ac:dyDescent="0.2">
      <c r="A850" s="5"/>
      <c r="B850" s="20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 spans="1:23" ht="12.75" x14ac:dyDescent="0.2">
      <c r="A851" s="5"/>
      <c r="B851" s="20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 spans="1:23" ht="12.75" x14ac:dyDescent="0.2">
      <c r="A852" s="5"/>
      <c r="B852" s="20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 spans="1:23" ht="12.75" x14ac:dyDescent="0.2">
      <c r="A853" s="5"/>
      <c r="B853" s="20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 spans="1:23" ht="12.75" x14ac:dyDescent="0.2">
      <c r="A854" s="5"/>
      <c r="B854" s="20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 spans="1:23" ht="12.75" x14ac:dyDescent="0.2">
      <c r="A855" s="5"/>
      <c r="B855" s="20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 spans="1:23" ht="12.75" x14ac:dyDescent="0.2">
      <c r="A856" s="5"/>
      <c r="B856" s="20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 spans="1:23" ht="12.75" x14ac:dyDescent="0.2">
      <c r="A857" s="5"/>
      <c r="B857" s="20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 spans="1:23" ht="12.75" x14ac:dyDescent="0.2">
      <c r="A858" s="5"/>
      <c r="B858" s="20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 spans="1:23" ht="12.75" x14ac:dyDescent="0.2">
      <c r="A859" s="5"/>
      <c r="B859" s="20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 spans="1:23" ht="12.75" x14ac:dyDescent="0.2">
      <c r="A860" s="5"/>
      <c r="B860" s="20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 spans="1:23" ht="12.75" x14ac:dyDescent="0.2">
      <c r="A861" s="5"/>
      <c r="B861" s="20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 spans="1:23" ht="12.75" x14ac:dyDescent="0.2">
      <c r="A862" s="5"/>
      <c r="B862" s="20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 spans="1:23" ht="12.75" x14ac:dyDescent="0.2">
      <c r="A863" s="5"/>
      <c r="B863" s="20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 spans="1:23" ht="12.75" x14ac:dyDescent="0.2">
      <c r="A864" s="5"/>
      <c r="B864" s="20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 spans="1:23" ht="12.75" x14ac:dyDescent="0.2">
      <c r="A865" s="5"/>
      <c r="B865" s="20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 spans="1:23" ht="12.75" x14ac:dyDescent="0.2">
      <c r="A866" s="5"/>
      <c r="B866" s="20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 spans="1:23" ht="12.75" x14ac:dyDescent="0.2">
      <c r="A867" s="5"/>
      <c r="B867" s="20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 spans="1:23" ht="12.75" x14ac:dyDescent="0.2">
      <c r="A868" s="5"/>
      <c r="B868" s="20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 spans="1:23" ht="12.75" x14ac:dyDescent="0.2">
      <c r="A869" s="5"/>
      <c r="B869" s="20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 spans="1:23" ht="12.75" x14ac:dyDescent="0.2">
      <c r="A870" s="5"/>
      <c r="B870" s="20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 spans="1:23" ht="12.75" x14ac:dyDescent="0.2">
      <c r="A871" s="5"/>
      <c r="B871" s="20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 spans="1:23" ht="12.75" x14ac:dyDescent="0.2">
      <c r="A872" s="5"/>
      <c r="B872" s="20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 spans="1:23" ht="12.75" x14ac:dyDescent="0.2">
      <c r="A873" s="5"/>
      <c r="B873" s="20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 spans="1:23" ht="12.75" x14ac:dyDescent="0.2">
      <c r="A874" s="5"/>
      <c r="B874" s="20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 spans="1:23" ht="12.75" x14ac:dyDescent="0.2">
      <c r="A875" s="5"/>
      <c r="B875" s="20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 spans="1:23" ht="12.75" x14ac:dyDescent="0.2">
      <c r="A876" s="5"/>
      <c r="B876" s="20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 spans="1:23" ht="12.75" x14ac:dyDescent="0.2">
      <c r="A877" s="5"/>
      <c r="B877" s="20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 spans="1:23" ht="12.75" x14ac:dyDescent="0.2">
      <c r="A878" s="5"/>
      <c r="B878" s="20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 spans="1:23" ht="12.75" x14ac:dyDescent="0.2">
      <c r="A879" s="5"/>
      <c r="B879" s="20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 spans="1:23" ht="12.75" x14ac:dyDescent="0.2">
      <c r="A880" s="5"/>
      <c r="B880" s="20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 spans="1:23" ht="12.75" x14ac:dyDescent="0.2">
      <c r="A881" s="5"/>
      <c r="B881" s="20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 spans="1:23" ht="12.75" x14ac:dyDescent="0.2">
      <c r="A882" s="5"/>
      <c r="B882" s="20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 spans="1:23" ht="12.75" x14ac:dyDescent="0.2">
      <c r="A883" s="5"/>
      <c r="B883" s="20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 spans="1:23" ht="12.75" x14ac:dyDescent="0.2">
      <c r="A884" s="5"/>
      <c r="B884" s="20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 spans="1:23" ht="12.75" x14ac:dyDescent="0.2">
      <c r="A885" s="5"/>
      <c r="B885" s="20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 spans="1:23" ht="12.75" x14ac:dyDescent="0.2">
      <c r="A886" s="5"/>
      <c r="B886" s="20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 spans="1:23" ht="12.75" x14ac:dyDescent="0.2">
      <c r="A887" s="5"/>
      <c r="B887" s="20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 spans="1:23" ht="12.75" x14ac:dyDescent="0.2">
      <c r="A888" s="5"/>
      <c r="B888" s="20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 spans="1:23" ht="12.75" x14ac:dyDescent="0.2">
      <c r="A889" s="5"/>
      <c r="B889" s="20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 spans="1:23" ht="12.75" x14ac:dyDescent="0.2">
      <c r="A890" s="5"/>
      <c r="B890" s="20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 spans="1:23" ht="12.75" x14ac:dyDescent="0.2">
      <c r="A891" s="5"/>
      <c r="B891" s="20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 spans="1:23" ht="12.75" x14ac:dyDescent="0.2">
      <c r="A892" s="5"/>
      <c r="B892" s="20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 spans="1:23" ht="12.75" x14ac:dyDescent="0.2">
      <c r="A893" s="5"/>
      <c r="B893" s="20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 spans="1:23" ht="12.75" x14ac:dyDescent="0.2">
      <c r="A894" s="5"/>
      <c r="B894" s="20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 spans="1:23" ht="12.75" x14ac:dyDescent="0.2">
      <c r="A895" s="5"/>
      <c r="B895" s="20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 spans="1:23" ht="12.75" x14ac:dyDescent="0.2">
      <c r="A896" s="5"/>
      <c r="B896" s="20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 spans="1:23" ht="12.75" x14ac:dyDescent="0.2">
      <c r="A897" s="5"/>
      <c r="B897" s="20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 spans="1:23" ht="12.75" x14ac:dyDescent="0.2">
      <c r="A898" s="5"/>
      <c r="B898" s="20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 spans="1:23" ht="12.75" x14ac:dyDescent="0.2">
      <c r="A899" s="5"/>
      <c r="B899" s="20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 spans="1:23" ht="12.75" x14ac:dyDescent="0.2">
      <c r="A900" s="5"/>
      <c r="B900" s="20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 spans="1:23" ht="12.75" x14ac:dyDescent="0.2">
      <c r="A901" s="5"/>
      <c r="B901" s="20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 spans="1:23" ht="12.75" x14ac:dyDescent="0.2">
      <c r="A902" s="5"/>
      <c r="B902" s="20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 spans="1:23" ht="12.75" x14ac:dyDescent="0.2">
      <c r="A903" s="5"/>
      <c r="B903" s="20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 spans="1:23" ht="12.75" x14ac:dyDescent="0.2">
      <c r="A904" s="5"/>
      <c r="B904" s="20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 spans="1:23" ht="12.75" x14ac:dyDescent="0.2">
      <c r="A905" s="5"/>
      <c r="B905" s="20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 spans="1:23" ht="12.75" x14ac:dyDescent="0.2">
      <c r="A906" s="5"/>
      <c r="B906" s="20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 spans="1:23" ht="12.75" x14ac:dyDescent="0.2">
      <c r="A907" s="5"/>
      <c r="B907" s="20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 spans="1:23" ht="12.75" x14ac:dyDescent="0.2">
      <c r="A908" s="5"/>
      <c r="B908" s="20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 spans="1:23" ht="12.75" x14ac:dyDescent="0.2">
      <c r="A909" s="5"/>
      <c r="B909" s="20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 spans="1:23" ht="12.75" x14ac:dyDescent="0.2">
      <c r="A910" s="5"/>
      <c r="B910" s="20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 spans="1:23" ht="12.75" x14ac:dyDescent="0.2">
      <c r="A911" s="5"/>
      <c r="B911" s="20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 spans="1:23" ht="12.75" x14ac:dyDescent="0.2">
      <c r="A912" s="5"/>
      <c r="B912" s="20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 spans="1:23" ht="12.75" x14ac:dyDescent="0.2">
      <c r="A913" s="5"/>
      <c r="B913" s="20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 spans="1:23" ht="12.75" x14ac:dyDescent="0.2">
      <c r="A914" s="5"/>
      <c r="B914" s="20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 spans="1:23" ht="12.75" x14ac:dyDescent="0.2">
      <c r="A915" s="5"/>
      <c r="B915" s="20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 spans="1:23" ht="12.75" x14ac:dyDescent="0.2">
      <c r="A916" s="5"/>
      <c r="B916" s="20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 spans="1:23" ht="12.75" x14ac:dyDescent="0.2">
      <c r="A917" s="5"/>
      <c r="B917" s="20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 spans="1:23" ht="12.75" x14ac:dyDescent="0.2">
      <c r="A918" s="5"/>
      <c r="B918" s="20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 spans="1:23" ht="12.75" x14ac:dyDescent="0.2">
      <c r="A919" s="5"/>
      <c r="B919" s="20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 spans="1:23" ht="12.75" x14ac:dyDescent="0.2">
      <c r="A920" s="5"/>
      <c r="B920" s="20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 spans="1:23" ht="12.75" x14ac:dyDescent="0.2">
      <c r="A921" s="5"/>
      <c r="B921" s="20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 spans="1:23" ht="12.75" x14ac:dyDescent="0.2">
      <c r="A922" s="5"/>
      <c r="B922" s="20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 spans="1:23" ht="12.75" x14ac:dyDescent="0.2">
      <c r="A923" s="5"/>
      <c r="B923" s="20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 spans="1:23" ht="12.75" x14ac:dyDescent="0.2">
      <c r="A924" s="5"/>
      <c r="B924" s="20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 spans="1:23" ht="12.75" x14ac:dyDescent="0.2">
      <c r="A925" s="5"/>
      <c r="B925" s="20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 spans="1:23" ht="12.75" x14ac:dyDescent="0.2">
      <c r="A926" s="5"/>
      <c r="B926" s="20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 spans="1:23" ht="12.75" x14ac:dyDescent="0.2">
      <c r="A927" s="5"/>
      <c r="B927" s="20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 spans="1:23" ht="12.75" x14ac:dyDescent="0.2">
      <c r="A928" s="5"/>
      <c r="B928" s="20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 spans="1:23" ht="12.75" x14ac:dyDescent="0.2">
      <c r="A929" s="5"/>
      <c r="B929" s="20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 spans="1:23" ht="12.75" x14ac:dyDescent="0.2">
      <c r="A930" s="5"/>
      <c r="B930" s="20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 spans="1:23" ht="12.75" x14ac:dyDescent="0.2">
      <c r="A931" s="5"/>
      <c r="B931" s="20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 spans="1:23" ht="12.75" x14ac:dyDescent="0.2">
      <c r="A932" s="5"/>
      <c r="B932" s="20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 spans="1:23" ht="12.75" x14ac:dyDescent="0.2">
      <c r="A933" s="5"/>
      <c r="B933" s="20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 spans="1:23" ht="12.75" x14ac:dyDescent="0.2">
      <c r="A934" s="5"/>
      <c r="B934" s="20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 spans="1:23" ht="12.75" x14ac:dyDescent="0.2">
      <c r="A935" s="5"/>
      <c r="B935" s="20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 spans="1:23" ht="12.75" x14ac:dyDescent="0.2">
      <c r="A936" s="5"/>
      <c r="B936" s="20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 spans="1:23" ht="12.75" x14ac:dyDescent="0.2">
      <c r="A937" s="5"/>
      <c r="B937" s="20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 spans="1:23" ht="12.75" x14ac:dyDescent="0.2">
      <c r="A938" s="5"/>
      <c r="B938" s="20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 spans="1:23" ht="12.75" x14ac:dyDescent="0.2">
      <c r="A939" s="5"/>
      <c r="B939" s="20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 spans="1:23" ht="12.75" x14ac:dyDescent="0.2">
      <c r="A940" s="5"/>
      <c r="B940" s="20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 spans="1:23" ht="12.75" x14ac:dyDescent="0.2">
      <c r="A941" s="5"/>
      <c r="B941" s="20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 spans="1:23" ht="12.75" x14ac:dyDescent="0.2">
      <c r="A942" s="5"/>
      <c r="B942" s="20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 spans="1:23" ht="12.75" x14ac:dyDescent="0.2">
      <c r="A943" s="5"/>
      <c r="B943" s="20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 spans="1:23" ht="12.75" x14ac:dyDescent="0.2">
      <c r="A944" s="5"/>
      <c r="B944" s="20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 spans="1:23" ht="12.75" x14ac:dyDescent="0.2">
      <c r="A945" s="5"/>
      <c r="B945" s="20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 spans="1:23" ht="12.75" x14ac:dyDescent="0.2">
      <c r="A946" s="5"/>
      <c r="B946" s="20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 spans="1:23" ht="12.75" x14ac:dyDescent="0.2">
      <c r="A947" s="5"/>
      <c r="B947" s="20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 spans="1:23" ht="12.75" x14ac:dyDescent="0.2">
      <c r="A948" s="5"/>
      <c r="B948" s="20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 spans="1:23" ht="12.75" x14ac:dyDescent="0.2">
      <c r="A949" s="5"/>
      <c r="B949" s="20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 spans="1:23" ht="12.75" x14ac:dyDescent="0.2">
      <c r="A950" s="5"/>
      <c r="B950" s="20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 spans="1:23" ht="12.75" x14ac:dyDescent="0.2">
      <c r="A951" s="5"/>
      <c r="B951" s="20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 spans="1:23" ht="12.75" x14ac:dyDescent="0.2">
      <c r="A952" s="5"/>
      <c r="B952" s="20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 spans="1:23" ht="12.75" x14ac:dyDescent="0.2">
      <c r="A953" s="5"/>
      <c r="B953" s="20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 spans="1:23" ht="12.75" x14ac:dyDescent="0.2">
      <c r="A954" s="5"/>
      <c r="B954" s="20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 spans="1:23" ht="12.75" x14ac:dyDescent="0.2">
      <c r="A955" s="5"/>
      <c r="B955" s="20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 spans="1:23" ht="12.75" x14ac:dyDescent="0.2">
      <c r="A956" s="5"/>
      <c r="B956" s="20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 spans="1:23" ht="12.75" x14ac:dyDescent="0.2">
      <c r="A957" s="5"/>
      <c r="B957" s="20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 spans="1:23" ht="12.75" x14ac:dyDescent="0.2">
      <c r="A958" s="5"/>
      <c r="B958" s="20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 spans="1:23" ht="12.75" x14ac:dyDescent="0.2">
      <c r="A959" s="5"/>
      <c r="B959" s="20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 spans="1:23" ht="12.75" x14ac:dyDescent="0.2">
      <c r="A960" s="5"/>
      <c r="B960" s="20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 spans="1:23" ht="12.75" x14ac:dyDescent="0.2">
      <c r="A961" s="5"/>
      <c r="B961" s="20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 spans="1:23" ht="12.75" x14ac:dyDescent="0.2">
      <c r="A962" s="5"/>
      <c r="B962" s="20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 spans="1:23" ht="12.75" x14ac:dyDescent="0.2">
      <c r="A963" s="5"/>
      <c r="B963" s="20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 spans="1:23" ht="12.75" x14ac:dyDescent="0.2">
      <c r="A964" s="5"/>
      <c r="B964" s="20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 spans="1:23" ht="12.75" x14ac:dyDescent="0.2">
      <c r="A965" s="5"/>
      <c r="B965" s="20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 spans="1:23" ht="12.75" x14ac:dyDescent="0.2">
      <c r="A966" s="5"/>
      <c r="B966" s="20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 spans="1:23" ht="12.75" x14ac:dyDescent="0.2">
      <c r="A967" s="5"/>
      <c r="B967" s="20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 spans="1:23" ht="12.75" x14ac:dyDescent="0.2">
      <c r="A968" s="5"/>
      <c r="B968" s="20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 spans="1:23" ht="12.75" x14ac:dyDescent="0.2">
      <c r="A969" s="5"/>
      <c r="B969" s="20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 spans="1:23" ht="12.75" x14ac:dyDescent="0.2">
      <c r="A970" s="5"/>
      <c r="B970" s="20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 spans="1:23" ht="12.75" x14ac:dyDescent="0.2">
      <c r="A971" s="5"/>
      <c r="B971" s="20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 spans="1:23" ht="12.75" x14ac:dyDescent="0.2">
      <c r="A972" s="5"/>
      <c r="B972" s="20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 spans="1:23" ht="12.75" x14ac:dyDescent="0.2">
      <c r="A973" s="5"/>
      <c r="B973" s="20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 spans="1:23" ht="12.75" x14ac:dyDescent="0.2">
      <c r="A974" s="5"/>
      <c r="B974" s="20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 spans="1:23" ht="12.75" x14ac:dyDescent="0.2">
      <c r="A975" s="5"/>
      <c r="B975" s="20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 spans="1:23" ht="12.75" x14ac:dyDescent="0.2">
      <c r="A976" s="5"/>
      <c r="B976" s="20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 spans="1:23" ht="12.75" x14ac:dyDescent="0.2">
      <c r="A977" s="5"/>
      <c r="B977" s="20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 spans="1:23" ht="12.75" x14ac:dyDescent="0.2">
      <c r="A978" s="5"/>
      <c r="B978" s="20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 spans="1:23" ht="12.75" x14ac:dyDescent="0.2">
      <c r="A979" s="5"/>
      <c r="B979" s="20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 spans="1:23" ht="12.75" x14ac:dyDescent="0.2">
      <c r="A980" s="5"/>
      <c r="B980" s="20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 spans="1:23" ht="12.75" x14ac:dyDescent="0.2">
      <c r="A981" s="5"/>
      <c r="B981" s="20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 spans="1:23" ht="12.75" x14ac:dyDescent="0.2">
      <c r="A982" s="5"/>
      <c r="B982" s="20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 spans="1:23" ht="12.75" x14ac:dyDescent="0.2">
      <c r="A983" s="5"/>
      <c r="B983" s="20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 spans="1:23" ht="12.75" x14ac:dyDescent="0.2">
      <c r="A984" s="5"/>
      <c r="B984" s="20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 spans="1:23" ht="12.75" x14ac:dyDescent="0.2">
      <c r="A985" s="5"/>
      <c r="B985" s="20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 spans="1:23" ht="12.75" x14ac:dyDescent="0.2">
      <c r="A986" s="5"/>
      <c r="B986" s="20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 spans="1:23" ht="12.75" x14ac:dyDescent="0.2">
      <c r="A987" s="5"/>
      <c r="B987" s="20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 spans="1:23" ht="12.75" x14ac:dyDescent="0.2">
      <c r="A988" s="5"/>
      <c r="B988" s="20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 spans="1:23" ht="12.75" x14ac:dyDescent="0.2">
      <c r="A989" s="5"/>
      <c r="B989" s="20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 spans="1:23" ht="12.75" x14ac:dyDescent="0.2">
      <c r="A990" s="5"/>
      <c r="B990" s="20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 spans="1:23" ht="12.75" x14ac:dyDescent="0.2">
      <c r="A991" s="5"/>
      <c r="B991" s="20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 spans="1:23" ht="12.75" x14ac:dyDescent="0.2">
      <c r="A992" s="5"/>
      <c r="B992" s="20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 spans="1:23" ht="12.75" x14ac:dyDescent="0.2">
      <c r="A993" s="5"/>
      <c r="B993" s="20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 spans="1:23" ht="12.75" x14ac:dyDescent="0.2">
      <c r="A994" s="5"/>
      <c r="B994" s="20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 spans="1:23" ht="12.75" x14ac:dyDescent="0.2">
      <c r="A995" s="5"/>
      <c r="B995" s="20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 spans="1:23" ht="12.75" x14ac:dyDescent="0.2">
      <c r="A996" s="5"/>
      <c r="B996" s="20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 spans="1:23" ht="12.75" x14ac:dyDescent="0.2">
      <c r="A997" s="5"/>
      <c r="B997" s="20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 spans="1:23" ht="12.75" x14ac:dyDescent="0.2">
      <c r="A998" s="5"/>
      <c r="B998" s="20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 spans="1:23" ht="12.75" x14ac:dyDescent="0.2">
      <c r="A999" s="5"/>
      <c r="B999" s="20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9D4E5-B142-4D72-972C-178BDA75B6FD}">
  <dimension ref="A1:Q60"/>
  <sheetViews>
    <sheetView tabSelected="1" topLeftCell="L1" zoomScale="115" zoomScaleNormal="115" workbookViewId="0">
      <selection activeCell="T3" sqref="T3"/>
    </sheetView>
  </sheetViews>
  <sheetFormatPr defaultRowHeight="12.75" x14ac:dyDescent="0.2"/>
  <sheetData>
    <row r="1" spans="1:17" x14ac:dyDescent="0.2">
      <c r="A1" t="str">
        <f>Sheet1!K1</f>
        <v>caffeine intake (number of cups per day)</v>
      </c>
      <c r="E1" s="25" t="str">
        <f>Sheet1!G1</f>
        <v>Gender</v>
      </c>
      <c r="F1" s="25"/>
      <c r="G1" s="23"/>
      <c r="H1" s="23"/>
      <c r="N1" s="25" t="str">
        <f>Sheet1!I1</f>
        <v>state</v>
      </c>
      <c r="O1" s="25"/>
      <c r="P1" s="24" t="s">
        <v>180</v>
      </c>
      <c r="Q1" s="24" t="s">
        <v>181</v>
      </c>
    </row>
    <row r="2" spans="1:17" x14ac:dyDescent="0.2">
      <c r="A2">
        <f>Sheet1!K2</f>
        <v>0</v>
      </c>
      <c r="E2">
        <f>Sheet1!G2</f>
        <v>0</v>
      </c>
      <c r="F2" t="str" cm="1">
        <f t="array" ref="F2:F60">_xlfn.IFS(E2:E60="","N/A", LOWER(TRIM(E2:E60))="male","Male", LOWER(TRIM(E2:E60))="female","Female",TRUE,"N/A")</f>
        <v>N/A</v>
      </c>
      <c r="G2" s="23" t="s">
        <v>177</v>
      </c>
      <c r="H2" s="23">
        <f>COUNTIF(_xlfn.ANCHORARRAY(F2),"Male")</f>
        <v>25</v>
      </c>
      <c r="N2">
        <f>Sheet1!I2</f>
        <v>0</v>
      </c>
      <c r="O2" t="str" cm="1">
        <f t="array" ref="O2:O60">_xlfn.IFS(N2:N60="","N/A", LOWER(TRIM(N2:N60))="karnataka","Karnataka", LOWER(TRIM(N2:N60))="kerala","Kerala", LOWER(TRIM(N2:N60))="tamil nadu","Tamil Nadu", LOWER(TRIM(N2:N60))="meghalaya","Meghalaya", LOWER(TRIM(N2:N60))="punjab","Punjab",TRUE,"N/A")</f>
        <v>N/A</v>
      </c>
      <c r="P2" s="24" t="s">
        <v>119</v>
      </c>
      <c r="Q2" s="24">
        <f>COUNTIF(_xlfn.ANCHORARRAY(O2),"Karnataka")</f>
        <v>13</v>
      </c>
    </row>
    <row r="3" spans="1:17" x14ac:dyDescent="0.2">
      <c r="A3">
        <v>3</v>
      </c>
      <c r="E3" t="str">
        <f>Sheet1!G3</f>
        <v>male</v>
      </c>
      <c r="F3" t="str">
        <v>Male</v>
      </c>
      <c r="G3" s="23" t="s">
        <v>81</v>
      </c>
      <c r="H3" s="23">
        <f>COUNTIF(_xlfn.ANCHORARRAY(F2),"Female")</f>
        <v>10</v>
      </c>
      <c r="N3" t="str">
        <f>Sheet1!I3</f>
        <v xml:space="preserve">Karnataka </v>
      </c>
      <c r="O3" t="str">
        <v>Karnataka</v>
      </c>
      <c r="P3" s="24" t="s">
        <v>75</v>
      </c>
      <c r="Q3" s="24">
        <f>COUNTIF(_xlfn.ANCHORARRAY(O2),"Kerala")</f>
        <v>9</v>
      </c>
    </row>
    <row r="4" spans="1:17" x14ac:dyDescent="0.2">
      <c r="A4">
        <f>Sheet1!K4</f>
        <v>3</v>
      </c>
      <c r="E4" t="str">
        <f>Sheet1!G4</f>
        <v>male</v>
      </c>
      <c r="F4" t="str">
        <v>Male</v>
      </c>
      <c r="G4" s="23" t="s">
        <v>178</v>
      </c>
      <c r="H4" s="23">
        <f>COUNTIF(_xlfn.ANCHORARRAY(F2),"N/A")</f>
        <v>24</v>
      </c>
      <c r="N4" t="str">
        <f>Sheet1!I4</f>
        <v>kerala</v>
      </c>
      <c r="O4" t="str">
        <v>Kerala</v>
      </c>
      <c r="P4" s="24" t="s">
        <v>52</v>
      </c>
      <c r="Q4" s="24">
        <f>COUNTIF(O:O,"Meghalaya")</f>
        <v>1</v>
      </c>
    </row>
    <row r="5" spans="1:17" x14ac:dyDescent="0.2">
      <c r="A5">
        <f>Sheet1!K5</f>
        <v>0</v>
      </c>
      <c r="E5" t="str">
        <f>Sheet1!G5</f>
        <v>Male</v>
      </c>
      <c r="F5" t="str">
        <v>Male</v>
      </c>
      <c r="N5" t="str">
        <f>Sheet1!I5</f>
        <v xml:space="preserve">Karnataka </v>
      </c>
      <c r="O5" t="str">
        <v>Karnataka</v>
      </c>
      <c r="P5" s="24" t="s">
        <v>55</v>
      </c>
      <c r="Q5" s="24">
        <f>COUNTIF(O:O,"Punjab")</f>
        <v>1</v>
      </c>
    </row>
    <row r="6" spans="1:17" x14ac:dyDescent="0.2">
      <c r="A6">
        <f>Sheet1!K6</f>
        <v>0</v>
      </c>
      <c r="E6">
        <f>Sheet1!G6</f>
        <v>0</v>
      </c>
      <c r="F6" t="str">
        <v>N/A</v>
      </c>
      <c r="N6">
        <f>Sheet1!I6</f>
        <v>0</v>
      </c>
      <c r="O6" t="str">
        <v>N/A</v>
      </c>
      <c r="P6" s="24" t="s">
        <v>179</v>
      </c>
      <c r="Q6" s="24">
        <f>COUNTIF(O:O,"Tamil Nadu")</f>
        <v>11</v>
      </c>
    </row>
    <row r="7" spans="1:17" x14ac:dyDescent="0.2">
      <c r="A7">
        <f>Sheet1!K7</f>
        <v>0</v>
      </c>
      <c r="E7">
        <f>Sheet1!G7</f>
        <v>0</v>
      </c>
      <c r="F7" t="str">
        <v>N/A</v>
      </c>
      <c r="N7">
        <f>Sheet1!I7</f>
        <v>0</v>
      </c>
      <c r="O7" t="str">
        <v>N/A</v>
      </c>
    </row>
    <row r="8" spans="1:17" x14ac:dyDescent="0.2">
      <c r="A8">
        <f>Sheet1!K8</f>
        <v>0</v>
      </c>
      <c r="E8">
        <f>Sheet1!G8</f>
        <v>0</v>
      </c>
      <c r="F8" t="str">
        <v>N/A</v>
      </c>
      <c r="N8">
        <f>Sheet1!I8</f>
        <v>0</v>
      </c>
      <c r="O8" t="str">
        <v>N/A</v>
      </c>
    </row>
    <row r="9" spans="1:17" x14ac:dyDescent="0.2">
      <c r="A9">
        <f>Sheet1!K9</f>
        <v>0</v>
      </c>
      <c r="E9">
        <f>Sheet1!G9</f>
        <v>0</v>
      </c>
      <c r="F9" t="str">
        <v>N/A</v>
      </c>
      <c r="N9">
        <f>Sheet1!I9</f>
        <v>0</v>
      </c>
      <c r="O9" t="str">
        <v>N/A</v>
      </c>
    </row>
    <row r="10" spans="1:17" x14ac:dyDescent="0.2">
      <c r="A10">
        <f>Sheet1!K10</f>
        <v>10</v>
      </c>
      <c r="E10" t="str">
        <f>Sheet1!G10</f>
        <v>male</v>
      </c>
      <c r="F10" t="str">
        <v>Male</v>
      </c>
      <c r="N10" t="str">
        <f>Sheet1!I10</f>
        <v xml:space="preserve">Karnataka </v>
      </c>
      <c r="O10" t="str">
        <v>Karnataka</v>
      </c>
    </row>
    <row r="11" spans="1:17" x14ac:dyDescent="0.2">
      <c r="A11">
        <f>Sheet1!K11</f>
        <v>0</v>
      </c>
      <c r="E11" t="str">
        <f>Sheet1!G11</f>
        <v>male</v>
      </c>
      <c r="F11" t="str">
        <v>Male</v>
      </c>
      <c r="N11" t="str">
        <f>Sheet1!I11</f>
        <v>Meghalaya</v>
      </c>
      <c r="O11" t="str">
        <v>Meghalaya</v>
      </c>
    </row>
    <row r="12" spans="1:17" x14ac:dyDescent="0.2">
      <c r="A12">
        <f>Sheet1!K12</f>
        <v>1</v>
      </c>
      <c r="E12" t="str">
        <f>Sheet1!G12</f>
        <v>Male</v>
      </c>
      <c r="F12" t="str">
        <v>Male</v>
      </c>
      <c r="N12" t="str">
        <f>Sheet1!I12</f>
        <v>Punjab</v>
      </c>
      <c r="O12" t="str">
        <v>Punjab</v>
      </c>
    </row>
    <row r="13" spans="1:17" x14ac:dyDescent="0.2">
      <c r="A13">
        <f>Sheet1!K13</f>
        <v>0</v>
      </c>
      <c r="E13">
        <f>Sheet1!G13</f>
        <v>0</v>
      </c>
      <c r="F13" t="str">
        <v>N/A</v>
      </c>
      <c r="N13">
        <f>Sheet1!I13</f>
        <v>0</v>
      </c>
      <c r="O13" t="str">
        <v>N/A</v>
      </c>
    </row>
    <row r="14" spans="1:17" x14ac:dyDescent="0.2">
      <c r="A14">
        <f>Sheet1!K14</f>
        <v>1</v>
      </c>
      <c r="E14" t="str">
        <f>Sheet1!G14</f>
        <v>male</v>
      </c>
      <c r="F14" t="str">
        <v>Male</v>
      </c>
      <c r="N14" t="str">
        <f>Sheet1!I14</f>
        <v xml:space="preserve">Karnataka </v>
      </c>
      <c r="O14" t="str">
        <v>Karnataka</v>
      </c>
    </row>
    <row r="15" spans="1:17" x14ac:dyDescent="0.2">
      <c r="A15">
        <f>Sheet1!K15</f>
        <v>0</v>
      </c>
      <c r="E15" t="str">
        <f>Sheet1!G15</f>
        <v>male</v>
      </c>
      <c r="F15" t="str">
        <v>Male</v>
      </c>
      <c r="N15" t="str">
        <f>Sheet1!I15</f>
        <v xml:space="preserve">Karnataka </v>
      </c>
      <c r="O15" t="str">
        <v>Karnataka</v>
      </c>
    </row>
    <row r="16" spans="1:17" x14ac:dyDescent="0.2">
      <c r="A16">
        <f>Sheet1!K16</f>
        <v>0</v>
      </c>
      <c r="E16">
        <f>Sheet1!G16</f>
        <v>0</v>
      </c>
      <c r="F16" t="str">
        <v>N/A</v>
      </c>
      <c r="N16">
        <f>Sheet1!I16</f>
        <v>0</v>
      </c>
      <c r="O16" t="str">
        <v>N/A</v>
      </c>
    </row>
    <row r="17" spans="1:15" x14ac:dyDescent="0.2">
      <c r="A17">
        <f>Sheet1!K17</f>
        <v>0</v>
      </c>
      <c r="E17">
        <f>Sheet1!G17</f>
        <v>0</v>
      </c>
      <c r="F17" t="str">
        <v>N/A</v>
      </c>
      <c r="N17">
        <f>Sheet1!I17</f>
        <v>0</v>
      </c>
      <c r="O17" t="str">
        <v>N/A</v>
      </c>
    </row>
    <row r="18" spans="1:15" x14ac:dyDescent="0.2">
      <c r="A18">
        <f>Sheet1!K18</f>
        <v>4</v>
      </c>
      <c r="E18" t="str">
        <f>Sheet1!G18</f>
        <v>Male</v>
      </c>
      <c r="F18" t="str">
        <v>Male</v>
      </c>
      <c r="N18" t="str">
        <f>Sheet1!I18</f>
        <v>Kerala</v>
      </c>
      <c r="O18" t="str">
        <v>Kerala</v>
      </c>
    </row>
    <row r="19" spans="1:15" x14ac:dyDescent="0.2">
      <c r="A19">
        <f>Sheet1!K19</f>
        <v>5</v>
      </c>
      <c r="E19" t="str">
        <f>Sheet1!G19</f>
        <v>female</v>
      </c>
      <c r="F19" t="str">
        <v>Female</v>
      </c>
      <c r="N19" t="str">
        <f>Sheet1!I19</f>
        <v>tamil nadu</v>
      </c>
      <c r="O19" t="str">
        <v>Tamil Nadu</v>
      </c>
    </row>
    <row r="20" spans="1:15" x14ac:dyDescent="0.2">
      <c r="A20">
        <f>Sheet1!K20</f>
        <v>3</v>
      </c>
      <c r="E20" t="str">
        <f>Sheet1!G20</f>
        <v>male</v>
      </c>
      <c r="F20" t="str">
        <v>Male</v>
      </c>
      <c r="N20" t="str">
        <f>Sheet1!I20</f>
        <v>tamil nadu</v>
      </c>
      <c r="O20" t="str">
        <v>Tamil Nadu</v>
      </c>
    </row>
    <row r="21" spans="1:15" x14ac:dyDescent="0.2">
      <c r="A21">
        <f>Sheet1!K21</f>
        <v>1</v>
      </c>
      <c r="E21" t="str">
        <f>Sheet1!G21</f>
        <v>male</v>
      </c>
      <c r="F21" t="str">
        <v>Male</v>
      </c>
      <c r="N21" t="str">
        <f>Sheet1!I21</f>
        <v>tamil nadu</v>
      </c>
      <c r="O21" t="str">
        <v>Tamil Nadu</v>
      </c>
    </row>
    <row r="22" spans="1:15" x14ac:dyDescent="0.2">
      <c r="A22">
        <f>Sheet1!K22</f>
        <v>0</v>
      </c>
      <c r="E22">
        <f>Sheet1!G22</f>
        <v>0</v>
      </c>
      <c r="F22" t="str">
        <v>N/A</v>
      </c>
      <c r="N22">
        <f>Sheet1!I22</f>
        <v>0</v>
      </c>
      <c r="O22" t="str">
        <v>N/A</v>
      </c>
    </row>
    <row r="23" spans="1:15" x14ac:dyDescent="0.2">
      <c r="A23">
        <f>Sheet1!K23</f>
        <v>1</v>
      </c>
      <c r="E23" t="str">
        <f>Sheet1!G23</f>
        <v>Female</v>
      </c>
      <c r="F23" t="str">
        <v>Female</v>
      </c>
      <c r="N23" t="str">
        <f>Sheet1!I23</f>
        <v>karnataka</v>
      </c>
      <c r="O23" t="str">
        <v>Karnataka</v>
      </c>
    </row>
    <row r="24" spans="1:15" x14ac:dyDescent="0.2">
      <c r="A24">
        <f>Sheet1!K24</f>
        <v>0</v>
      </c>
      <c r="E24" t="str">
        <f>Sheet1!G24</f>
        <v>angel</v>
      </c>
      <c r="F24" t="str">
        <v>N/A</v>
      </c>
      <c r="N24" t="str">
        <f>Sheet1!I24</f>
        <v>karnataka</v>
      </c>
      <c r="O24" t="str">
        <v>Karnataka</v>
      </c>
    </row>
    <row r="25" spans="1:15" x14ac:dyDescent="0.2">
      <c r="A25">
        <f>Sheet1!K25</f>
        <v>0</v>
      </c>
      <c r="E25" t="str">
        <f>Sheet1!G25</f>
        <v>female</v>
      </c>
      <c r="F25" t="str">
        <v>Female</v>
      </c>
      <c r="N25" t="str">
        <f>Sheet1!I25</f>
        <v>karnataka</v>
      </c>
      <c r="O25" t="str">
        <v>Karnataka</v>
      </c>
    </row>
    <row r="26" spans="1:15" x14ac:dyDescent="0.2">
      <c r="A26">
        <f>Sheet1!K26</f>
        <v>0</v>
      </c>
      <c r="E26">
        <f>Sheet1!G26</f>
        <v>0</v>
      </c>
      <c r="F26" t="str">
        <v>N/A</v>
      </c>
      <c r="N26">
        <f>Sheet1!I26</f>
        <v>0</v>
      </c>
      <c r="O26" t="str">
        <v>N/A</v>
      </c>
    </row>
    <row r="27" spans="1:15" x14ac:dyDescent="0.2">
      <c r="A27">
        <f>Sheet1!K27</f>
        <v>3</v>
      </c>
      <c r="E27" t="str">
        <f>Sheet1!G27</f>
        <v>Male</v>
      </c>
      <c r="F27" t="str">
        <v>Male</v>
      </c>
      <c r="N27" t="str">
        <f>Sheet1!I27</f>
        <v>Tamil Nadu</v>
      </c>
      <c r="O27" t="str">
        <v>Tamil Nadu</v>
      </c>
    </row>
    <row r="28" spans="1:15" x14ac:dyDescent="0.2">
      <c r="A28">
        <f>Sheet1!K28</f>
        <v>2</v>
      </c>
      <c r="E28" t="str">
        <f>Sheet1!G28</f>
        <v>Male</v>
      </c>
      <c r="F28" t="str">
        <v>Male</v>
      </c>
      <c r="N28" t="str">
        <f>Sheet1!I28</f>
        <v>Tamil Nadu</v>
      </c>
      <c r="O28" t="str">
        <v>Tamil Nadu</v>
      </c>
    </row>
    <row r="29" spans="1:15" x14ac:dyDescent="0.2">
      <c r="A29">
        <v>0</v>
      </c>
      <c r="E29" t="str">
        <f>Sheet1!G29</f>
        <v>Male</v>
      </c>
      <c r="F29" t="str">
        <v>Male</v>
      </c>
      <c r="N29" t="str">
        <f>Sheet1!I29</f>
        <v>Tamil Nadu</v>
      </c>
      <c r="O29" t="str">
        <v>Tamil Nadu</v>
      </c>
    </row>
    <row r="30" spans="1:15" x14ac:dyDescent="0.2">
      <c r="A30">
        <v>0</v>
      </c>
      <c r="E30" t="str">
        <f>Sheet1!G30</f>
        <v>female</v>
      </c>
      <c r="F30" t="str">
        <v>Female</v>
      </c>
      <c r="N30" t="str">
        <f>Sheet1!I30</f>
        <v>karnataka</v>
      </c>
      <c r="O30" t="str">
        <v>Karnataka</v>
      </c>
    </row>
    <row r="31" spans="1:15" x14ac:dyDescent="0.2">
      <c r="A31">
        <f>Sheet1!K31</f>
        <v>1</v>
      </c>
      <c r="E31" t="str">
        <f>Sheet1!G31</f>
        <v>Male</v>
      </c>
      <c r="F31" t="str">
        <v>Male</v>
      </c>
      <c r="N31" t="str">
        <f>Sheet1!I31</f>
        <v xml:space="preserve">Kerala </v>
      </c>
      <c r="O31" t="str">
        <v>Kerala</v>
      </c>
    </row>
    <row r="32" spans="1:15" x14ac:dyDescent="0.2">
      <c r="A32">
        <f>Sheet1!K32</f>
        <v>1</v>
      </c>
      <c r="E32" t="str">
        <f>Sheet1!G32</f>
        <v>Male</v>
      </c>
      <c r="F32" t="str">
        <v>Male</v>
      </c>
      <c r="N32" t="str">
        <f>Sheet1!I32</f>
        <v>Karnataka</v>
      </c>
      <c r="O32" t="str">
        <v>Karnataka</v>
      </c>
    </row>
    <row r="33" spans="1:15" x14ac:dyDescent="0.2">
      <c r="A33">
        <f>Sheet1!K33</f>
        <v>2</v>
      </c>
      <c r="E33" t="str">
        <f>Sheet1!G33</f>
        <v>Female</v>
      </c>
      <c r="F33" t="str">
        <v>Female</v>
      </c>
      <c r="N33" t="str">
        <f>Sheet1!I33</f>
        <v>Karnataka</v>
      </c>
      <c r="O33" t="str">
        <v>Karnataka</v>
      </c>
    </row>
    <row r="34" spans="1:15" x14ac:dyDescent="0.2">
      <c r="A34">
        <f>Sheet1!K34</f>
        <v>0</v>
      </c>
      <c r="E34" t="str">
        <f>Sheet1!G34</f>
        <v>Female</v>
      </c>
      <c r="F34" t="str">
        <v>Female</v>
      </c>
      <c r="N34" t="str">
        <f>Sheet1!I34</f>
        <v>Karnataka</v>
      </c>
      <c r="O34" t="str">
        <v>Karnataka</v>
      </c>
    </row>
    <row r="35" spans="1:15" x14ac:dyDescent="0.2">
      <c r="A35">
        <f>Sheet1!K35</f>
        <v>3</v>
      </c>
      <c r="E35" t="str">
        <f>Sheet1!G35</f>
        <v>Female</v>
      </c>
      <c r="F35" t="str">
        <v>Female</v>
      </c>
      <c r="N35" t="str">
        <f>Sheet1!I35</f>
        <v>Odisha</v>
      </c>
      <c r="O35" t="str">
        <v>N/A</v>
      </c>
    </row>
    <row r="36" spans="1:15" x14ac:dyDescent="0.2">
      <c r="A36">
        <v>0</v>
      </c>
      <c r="E36" t="str">
        <f>Sheet1!G36</f>
        <v>Male</v>
      </c>
      <c r="F36" t="str">
        <v>Male</v>
      </c>
      <c r="N36" t="str">
        <f>Sheet1!I36</f>
        <v>Kerala</v>
      </c>
      <c r="O36" t="str">
        <v>Kerala</v>
      </c>
    </row>
    <row r="37" spans="1:15" x14ac:dyDescent="0.2">
      <c r="A37">
        <f>Sheet1!K37</f>
        <v>0</v>
      </c>
      <c r="E37">
        <f>Sheet1!G37</f>
        <v>0</v>
      </c>
      <c r="F37" t="str">
        <v>N/A</v>
      </c>
      <c r="N37">
        <f>Sheet1!I37</f>
        <v>0</v>
      </c>
      <c r="O37" t="str">
        <v>N/A</v>
      </c>
    </row>
    <row r="38" spans="1:15" x14ac:dyDescent="0.2">
      <c r="A38">
        <f>Sheet1!K38</f>
        <v>0</v>
      </c>
      <c r="E38" t="str">
        <f>Sheet1!G38</f>
        <v>Female</v>
      </c>
      <c r="F38" t="str">
        <v>Female</v>
      </c>
      <c r="N38" t="str">
        <f>Sheet1!I38</f>
        <v>Karnataka</v>
      </c>
      <c r="O38" t="str">
        <v>Karnataka</v>
      </c>
    </row>
    <row r="39" spans="1:15" x14ac:dyDescent="0.2">
      <c r="A39">
        <f>Sheet1!K39</f>
        <v>2</v>
      </c>
      <c r="E39" t="str">
        <f>Sheet1!G39</f>
        <v>Male</v>
      </c>
      <c r="F39" t="str">
        <v>Male</v>
      </c>
      <c r="N39" t="str">
        <f>Sheet1!I39</f>
        <v>Tamil Nadu</v>
      </c>
      <c r="O39" t="str">
        <v>Tamil Nadu</v>
      </c>
    </row>
    <row r="40" spans="1:15" x14ac:dyDescent="0.2">
      <c r="A40">
        <f>Sheet1!K40</f>
        <v>1</v>
      </c>
      <c r="E40" t="str">
        <f>Sheet1!G40</f>
        <v>MALE</v>
      </c>
      <c r="F40" t="str">
        <v>Male</v>
      </c>
      <c r="N40" t="str">
        <f>Sheet1!I40</f>
        <v>KERALA</v>
      </c>
      <c r="O40" t="str">
        <v>Kerala</v>
      </c>
    </row>
    <row r="41" spans="1:15" x14ac:dyDescent="0.2">
      <c r="A41">
        <f>Sheet1!K41</f>
        <v>1</v>
      </c>
      <c r="E41" t="str">
        <f>Sheet1!G41</f>
        <v>Female</v>
      </c>
      <c r="F41" t="str">
        <v>Female</v>
      </c>
      <c r="N41" t="str">
        <f>Sheet1!I41</f>
        <v>KERALA</v>
      </c>
      <c r="O41" t="str">
        <v>Kerala</v>
      </c>
    </row>
    <row r="42" spans="1:15" x14ac:dyDescent="0.2">
      <c r="A42">
        <f>Sheet1!K42</f>
        <v>0</v>
      </c>
      <c r="E42">
        <f>Sheet1!G42</f>
        <v>0</v>
      </c>
      <c r="F42" t="str">
        <v>N/A</v>
      </c>
      <c r="N42">
        <f>Sheet1!I42</f>
        <v>0</v>
      </c>
      <c r="O42" t="str">
        <v>N/A</v>
      </c>
    </row>
    <row r="43" spans="1:15" x14ac:dyDescent="0.2">
      <c r="A43">
        <f>Sheet1!K43</f>
        <v>0</v>
      </c>
      <c r="E43" t="str">
        <f>Sheet1!G43</f>
        <v>male</v>
      </c>
      <c r="F43" t="str">
        <v>Male</v>
      </c>
      <c r="N43" t="str">
        <f>Sheet1!I43</f>
        <v>KERALA</v>
      </c>
      <c r="O43" t="str">
        <v>Kerala</v>
      </c>
    </row>
    <row r="44" spans="1:15" x14ac:dyDescent="0.2">
      <c r="A44">
        <f>Sheet1!K44</f>
        <v>0</v>
      </c>
      <c r="E44" t="str">
        <f>Sheet1!G44</f>
        <v>not male</v>
      </c>
      <c r="F44" t="str">
        <v>N/A</v>
      </c>
      <c r="N44">
        <f>Sheet1!I44</f>
        <v>0</v>
      </c>
      <c r="O44" t="str">
        <v>N/A</v>
      </c>
    </row>
    <row r="45" spans="1:15" x14ac:dyDescent="0.2">
      <c r="A45">
        <v>2</v>
      </c>
      <c r="E45" t="str">
        <f>Sheet1!G45</f>
        <v>Male</v>
      </c>
      <c r="F45" t="str">
        <v>Male</v>
      </c>
      <c r="N45" t="str">
        <f>Sheet1!I45</f>
        <v>Tamil Nadu</v>
      </c>
      <c r="O45" t="str">
        <v>Tamil Nadu</v>
      </c>
    </row>
    <row r="46" spans="1:15" x14ac:dyDescent="0.2">
      <c r="A46">
        <f>Sheet1!K46</f>
        <v>2</v>
      </c>
      <c r="E46" t="str">
        <f>Sheet1!G46</f>
        <v>Female</v>
      </c>
      <c r="F46" t="str">
        <v>Female</v>
      </c>
      <c r="N46" t="str">
        <f>Sheet1!I46</f>
        <v>Kerala</v>
      </c>
      <c r="O46" t="str">
        <v>Kerala</v>
      </c>
    </row>
    <row r="47" spans="1:15" x14ac:dyDescent="0.2">
      <c r="A47">
        <f>Sheet1!K47</f>
        <v>0</v>
      </c>
      <c r="E47">
        <f>Sheet1!G47</f>
        <v>0</v>
      </c>
      <c r="F47" t="str">
        <v>N/A</v>
      </c>
      <c r="N47">
        <f>Sheet1!I47</f>
        <v>0</v>
      </c>
      <c r="O47" t="str">
        <v>N/A</v>
      </c>
    </row>
    <row r="48" spans="1:15" x14ac:dyDescent="0.2">
      <c r="A48">
        <f>Sheet1!K48</f>
        <v>0</v>
      </c>
      <c r="E48">
        <f>Sheet1!G48</f>
        <v>0</v>
      </c>
      <c r="F48" t="str">
        <v>N/A</v>
      </c>
      <c r="N48">
        <f>Sheet1!I48</f>
        <v>0</v>
      </c>
      <c r="O48" t="str">
        <v>N/A</v>
      </c>
    </row>
    <row r="49" spans="1:15" x14ac:dyDescent="0.2">
      <c r="A49">
        <f>Sheet1!K49</f>
        <v>0</v>
      </c>
      <c r="E49">
        <f>Sheet1!G49</f>
        <v>0</v>
      </c>
      <c r="F49" t="str">
        <v>N/A</v>
      </c>
      <c r="N49">
        <f>Sheet1!I49</f>
        <v>0</v>
      </c>
      <c r="O49" t="str">
        <v>N/A</v>
      </c>
    </row>
    <row r="50" spans="1:15" x14ac:dyDescent="0.2">
      <c r="A50">
        <f>Sheet1!K50</f>
        <v>0</v>
      </c>
      <c r="E50" t="str">
        <f>Sheet1!G50</f>
        <v>Male</v>
      </c>
      <c r="F50" t="str">
        <v>Male</v>
      </c>
      <c r="N50" t="str">
        <f>Sheet1!I50</f>
        <v>Tamil Nadu</v>
      </c>
      <c r="O50" t="str">
        <v>Tamil Nadu</v>
      </c>
    </row>
    <row r="51" spans="1:15" x14ac:dyDescent="0.2">
      <c r="A51">
        <f>Sheet1!K51</f>
        <v>1</v>
      </c>
      <c r="E51" t="str">
        <f>Sheet1!G51</f>
        <v>Male</v>
      </c>
      <c r="F51" t="str">
        <v>Male</v>
      </c>
      <c r="N51" t="str">
        <f>Sheet1!I51</f>
        <v>Tamil Nadu</v>
      </c>
      <c r="O51" t="str">
        <v>Tamil Nadu</v>
      </c>
    </row>
    <row r="52" spans="1:15" x14ac:dyDescent="0.2">
      <c r="A52">
        <f>Sheet1!K52</f>
        <v>0</v>
      </c>
      <c r="E52" t="str">
        <f>Sheet1!G52</f>
        <v>Male</v>
      </c>
      <c r="F52" t="str">
        <v>Male</v>
      </c>
      <c r="N52" t="str">
        <f>Sheet1!I52</f>
        <v>Tamil Nadu</v>
      </c>
      <c r="O52" t="str">
        <v>Tamil Nadu</v>
      </c>
    </row>
    <row r="53" spans="1:15" x14ac:dyDescent="0.2">
      <c r="A53">
        <f>Sheet1!K53</f>
        <v>0</v>
      </c>
      <c r="E53">
        <f>Sheet1!G53</f>
        <v>0</v>
      </c>
      <c r="F53" t="str">
        <v>N/A</v>
      </c>
      <c r="N53">
        <f>Sheet1!I53</f>
        <v>0</v>
      </c>
      <c r="O53" t="str">
        <v>N/A</v>
      </c>
    </row>
    <row r="54" spans="1:15" x14ac:dyDescent="0.2">
      <c r="A54">
        <f>Sheet1!K54</f>
        <v>0</v>
      </c>
      <c r="E54">
        <f>Sheet1!G54</f>
        <v>0</v>
      </c>
      <c r="F54" t="str">
        <v>N/A</v>
      </c>
      <c r="N54">
        <f>Sheet1!I54</f>
        <v>0</v>
      </c>
      <c r="O54" t="str">
        <v>N/A</v>
      </c>
    </row>
    <row r="55" spans="1:15" x14ac:dyDescent="0.2">
      <c r="A55">
        <f>Sheet1!K55</f>
        <v>0</v>
      </c>
      <c r="E55">
        <f>Sheet1!G55</f>
        <v>0</v>
      </c>
      <c r="F55" t="str">
        <v>N/A</v>
      </c>
      <c r="N55">
        <f>Sheet1!I55</f>
        <v>0</v>
      </c>
      <c r="O55" t="str">
        <v>N/A</v>
      </c>
    </row>
    <row r="56" spans="1:15" x14ac:dyDescent="0.2">
      <c r="A56">
        <f>Sheet1!K56</f>
        <v>0</v>
      </c>
      <c r="E56">
        <f>Sheet1!G56</f>
        <v>0</v>
      </c>
      <c r="F56" t="str">
        <v>N/A</v>
      </c>
      <c r="N56">
        <f>Sheet1!I56</f>
        <v>0</v>
      </c>
      <c r="O56" t="str">
        <v>N/A</v>
      </c>
    </row>
    <row r="57" spans="1:15" x14ac:dyDescent="0.2">
      <c r="A57">
        <f>Sheet1!K57</f>
        <v>0</v>
      </c>
      <c r="E57">
        <f>Sheet1!G57</f>
        <v>0</v>
      </c>
      <c r="F57" t="str">
        <v>N/A</v>
      </c>
      <c r="N57">
        <f>Sheet1!I57</f>
        <v>0</v>
      </c>
      <c r="O57" t="str">
        <v>N/A</v>
      </c>
    </row>
    <row r="58" spans="1:15" x14ac:dyDescent="0.2">
      <c r="A58">
        <f>Sheet1!K58</f>
        <v>0</v>
      </c>
      <c r="E58">
        <f>Sheet1!G58</f>
        <v>0</v>
      </c>
      <c r="F58" t="str">
        <v>N/A</v>
      </c>
      <c r="N58">
        <f>Sheet1!I58</f>
        <v>0</v>
      </c>
      <c r="O58" t="str">
        <v>N/A</v>
      </c>
    </row>
    <row r="59" spans="1:15" x14ac:dyDescent="0.2">
      <c r="A59">
        <f>Sheet1!K59</f>
        <v>1</v>
      </c>
      <c r="E59" t="str">
        <f>Sheet1!G59</f>
        <v>Male</v>
      </c>
      <c r="F59" t="str">
        <v>Male</v>
      </c>
      <c r="N59" t="str">
        <f>Sheet1!I59</f>
        <v>Kerala</v>
      </c>
      <c r="O59" t="str">
        <v>Kerala</v>
      </c>
    </row>
    <row r="60" spans="1:15" x14ac:dyDescent="0.2">
      <c r="A60">
        <f>Sheet1!K60</f>
        <v>0</v>
      </c>
      <c r="E60">
        <f>Sheet1!G60</f>
        <v>0</v>
      </c>
      <c r="F60" t="str">
        <v>N/A</v>
      </c>
      <c r="N60">
        <f>Sheet1!I60</f>
        <v>0</v>
      </c>
      <c r="O60" t="str">
        <v>N/A</v>
      </c>
    </row>
  </sheetData>
  <mergeCells count="2">
    <mergeCell ref="E1:F1"/>
    <mergeCell ref="N1:O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Nandish P (436)</cp:lastModifiedBy>
  <dcterms:created xsi:type="dcterms:W3CDTF">2025-11-25T13:31:38Z</dcterms:created>
  <dcterms:modified xsi:type="dcterms:W3CDTF">2025-11-25T13:31:38Z</dcterms:modified>
</cp:coreProperties>
</file>